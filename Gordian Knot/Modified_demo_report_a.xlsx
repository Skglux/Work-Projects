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'Sheet1'!$Q$5:$W$1000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0"/>
    </font>
    <font>
      <name val="Arial"/>
      <charset val="1"/>
      <family val="0"/>
      <b val="1"/>
      <color theme="1"/>
      <sz val="9"/>
    </font>
    <font>
      <name val="Arial"/>
      <charset val="1"/>
      <family val="0"/>
      <color theme="1"/>
      <sz val="9"/>
    </font>
  </fonts>
  <fills count="5">
    <fill>
      <patternFill/>
    </fill>
    <fill>
      <patternFill patternType="gray125"/>
    </fill>
    <fill>
      <patternFill patternType="solid">
        <fgColor rgb="FFDFEAF3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91B5D3"/>
        <bgColor rgb="FF9999FF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0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general" vertical="top" wrapText="1"/>
    </xf>
    <xf numFmtId="0" fontId="0" fillId="2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top" wrapText="1"/>
    </xf>
    <xf numFmtId="0" fontId="5" fillId="3" borderId="0" applyAlignment="1" pivotButton="0" quotePrefix="0" xfId="0">
      <alignment horizontal="left" vertical="top" wrapText="1"/>
    </xf>
    <xf numFmtId="0" fontId="5" fillId="3" borderId="0" applyAlignment="1" pivotButton="0" quotePrefix="0" xfId="0">
      <alignment horizontal="center" vertical="top" wrapText="1"/>
    </xf>
    <xf numFmtId="0" fontId="5" fillId="3" borderId="0" applyAlignment="1" pivotButton="0" quotePrefix="0" xfId="0">
      <alignment horizontal="right" vertical="top" wrapText="1"/>
    </xf>
    <xf numFmtId="0" fontId="4" fillId="0" borderId="0" applyAlignment="1" pivotButton="0" quotePrefix="0" xfId="0">
      <alignment horizontal="left" vertical="bottom" inden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top" wrapText="1"/>
    </xf>
    <xf numFmtId="0" fontId="0" fillId="3" borderId="0" applyAlignment="1" pivotButton="0" quotePrefix="0" xfId="0">
      <alignment horizontal="left" vertical="top" wrapText="1"/>
    </xf>
    <xf numFmtId="0" fontId="5" fillId="3" borderId="0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0" fontId="6" fillId="3" borderId="0" applyAlignment="1" pivotButton="0" quotePrefix="0" xfId="0">
      <alignment horizontal="center" vertical="top" wrapText="1"/>
    </xf>
    <xf numFmtId="0" fontId="6" fillId="3" borderId="0" applyAlignment="1" pivotButton="0" quotePrefix="0" xfId="0">
      <alignment horizontal="right" vertical="top" wrapText="1"/>
    </xf>
    <xf numFmtId="0" fontId="6" fillId="3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bottom" inden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general" vertical="top" wrapText="1"/>
    </xf>
    <xf numFmtId="0" fontId="0" fillId="2" borderId="0" applyAlignment="1" pivotButton="0" quotePrefix="0" xfId="0">
      <alignment horizontal="left" vertical="top" wrapText="1"/>
    </xf>
    <xf numFmtId="0" fontId="5" fillId="3" borderId="0" applyAlignment="1" pivotButton="0" quotePrefix="0" xfId="0">
      <alignment horizontal="left" vertical="top" wrapText="1"/>
    </xf>
    <xf numFmtId="0" fontId="5" fillId="3" borderId="0" applyAlignment="1" pivotButton="0" quotePrefix="0" xfId="0">
      <alignment horizontal="center" vertical="top" wrapText="1"/>
    </xf>
    <xf numFmtId="0" fontId="5" fillId="3" borderId="0" applyAlignment="1" pivotButton="0" quotePrefix="0" xfId="0">
      <alignment horizontal="right" vertical="top" wrapText="1"/>
    </xf>
    <xf numFmtId="0" fontId="4" fillId="0" borderId="0" applyAlignment="1" pivotButton="0" quotePrefix="0" xfId="0">
      <alignment horizontal="left" vertical="bottom" indent="1"/>
    </xf>
    <xf numFmtId="0" fontId="0" fillId="4" borderId="0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top" wrapText="1"/>
    </xf>
    <xf numFmtId="0" fontId="0" fillId="0" borderId="1" pivotButton="0" quotePrefix="0" xfId="0"/>
    <xf numFmtId="0" fontId="0" fillId="3" borderId="0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  <xf numFmtId="0" fontId="0" fillId="0" borderId="2" pivotButton="0" quotePrefix="0" xfId="0"/>
    <xf numFmtId="0" fontId="6" fillId="3" borderId="0" applyAlignment="1" pivotButton="0" quotePrefix="0" xfId="0">
      <alignment horizontal="center" vertical="top" wrapText="1"/>
    </xf>
    <xf numFmtId="0" fontId="6" fillId="3" borderId="0" applyAlignment="1" pivotButton="0" quotePrefix="0" xfId="0">
      <alignment horizontal="right" vertical="top" wrapText="1"/>
    </xf>
    <xf numFmtId="0" fontId="6" fillId="3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bottom" indent="1"/>
    </xf>
    <xf numFmtId="0" fontId="4" fillId="2" borderId="0" applyAlignment="1" pivotButton="0" quotePrefix="0" xfId="0">
      <alignment/>
    </xf>
    <xf numFmtId="0" fontId="0" fillId="2" borderId="0" applyAlignment="1" pivotButton="0" quotePrefix="0" xfId="0">
      <alignment/>
    </xf>
    <xf numFmtId="0" fontId="0" fillId="0" borderId="0" applyAlignment="1" pivotButton="0" quotePrefix="0" xfId="0">
      <alignment/>
    </xf>
    <xf numFmtId="0" fontId="5" fillId="3" borderId="0" applyAlignment="1" pivotButton="0" quotePrefix="0" xfId="0">
      <alignment/>
    </xf>
    <xf numFmtId="0" fontId="4" fillId="0" borderId="0" applyAlignment="1" pivotButton="0" quotePrefix="0" xfId="0">
      <alignment/>
    </xf>
    <xf numFmtId="0" fontId="0" fillId="4" borderId="0" applyAlignment="1" pivotButton="0" quotePrefix="0" xfId="0">
      <alignment/>
    </xf>
    <xf numFmtId="0" fontId="6" fillId="4" borderId="1" applyAlignment="1" pivotButton="0" quotePrefix="0" xfId="0">
      <alignment/>
    </xf>
    <xf numFmtId="0" fontId="0" fillId="3" borderId="0" applyAlignment="1" pivotButton="0" quotePrefix="0" xfId="0">
      <alignment/>
    </xf>
    <xf numFmtId="0" fontId="0" fillId="3" borderId="2" applyAlignment="1" pivotButton="0" quotePrefix="0" xfId="0">
      <alignment/>
    </xf>
    <xf numFmtId="0" fontId="6" fillId="3" borderId="0" applyAlignment="1" pivotButton="0" quotePrefix="0" xfId="0">
      <alignment/>
    </xf>
    <xf numFmtId="0" fontId="6" fillId="0" borderId="0" applyAlignment="1" pivotButton="0" quotePrefix="0" xfId="0">
      <alignment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FEA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1B5D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Y99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F3" activeCellId="0" sqref="F3"/>
    </sheetView>
  </sheetViews>
  <sheetFormatPr baseColWidth="8" defaultColWidth="8.34375" defaultRowHeight="15" customHeight="0" zeroHeight="0" outlineLevelRow="0"/>
  <cols>
    <col width="15.24" customWidth="1" style="20" min="1" max="1"/>
    <col width="3.81" customWidth="1" style="20" min="2" max="3"/>
    <col width="3.04" customWidth="1" style="20" min="4" max="4"/>
    <col width="3.81" customWidth="1" style="20" min="5" max="5"/>
    <col width="18.29" customWidth="1" style="20" min="6" max="6"/>
    <col width="9.140000000000001" customWidth="1" style="20" min="7" max="7"/>
    <col width="7.62" customWidth="1" style="20" min="8" max="8"/>
    <col width="6.1" customWidth="1" style="20" min="9" max="9"/>
    <col width="10.66" customWidth="1" style="20" min="10" max="10"/>
    <col width="9.140000000000001" customWidth="1" style="20" min="11" max="11"/>
    <col width="4.57" customWidth="1" style="20" min="12" max="12"/>
    <col width="7.62" customWidth="1" style="20" min="13" max="13"/>
    <col width="1.52" customWidth="1" style="20" min="14" max="14"/>
    <col width="0.77" customWidth="1" style="20" min="15" max="15"/>
    <col hidden="1" width="13" customWidth="1" style="21" min="24" max="24"/>
    <col hidden="1" width="13" customWidth="1" style="21" min="25" max="25"/>
  </cols>
  <sheetData>
    <row r="1" ht="15" customHeight="1" s="21">
      <c r="A1" s="39" t="inlineStr">
        <is>
          <t xml:space="preserve"> </t>
        </is>
      </c>
      <c r="B1" s="40" t="n"/>
      <c r="C1" s="40" t="n"/>
      <c r="D1" s="40" t="n"/>
      <c r="E1" s="40" t="n"/>
      <c r="F1" s="40" t="n"/>
      <c r="G1" s="41" t="n"/>
      <c r="H1" s="41" t="n"/>
      <c r="I1" s="41" t="n"/>
      <c r="J1" s="41" t="n"/>
      <c r="K1" s="41" t="n"/>
      <c r="L1" s="40" t="n"/>
      <c r="M1" s="41" t="n"/>
      <c r="N1" s="41" t="n"/>
      <c r="O1" s="41" t="n"/>
      <c r="X1" t="inlineStr">
        <is>
          <t>AGH</t>
        </is>
      </c>
      <c r="Y1" t="n">
        <v>2</v>
      </c>
    </row>
    <row r="2" ht="15" customHeight="1" s="21">
      <c r="A2" s="39" t="n"/>
      <c r="B2" s="41" t="n"/>
      <c r="C2" s="41" t="n"/>
      <c r="D2" s="41" t="n"/>
      <c r="E2" s="41" t="n"/>
      <c r="F2" s="41" t="n"/>
      <c r="G2" s="41" t="n"/>
      <c r="H2" s="41" t="n"/>
      <c r="I2" s="41" t="n"/>
      <c r="J2" s="41" t="n"/>
      <c r="K2" s="41" t="n"/>
      <c r="L2" s="41" t="n"/>
      <c r="M2" s="41" t="n"/>
      <c r="N2" s="41" t="n"/>
      <c r="O2" s="41" t="n"/>
      <c r="X2" t="inlineStr">
        <is>
          <t>BAE</t>
        </is>
      </c>
      <c r="Y2" t="n">
        <v>2</v>
      </c>
    </row>
    <row r="3" ht="15" customHeight="1" s="21">
      <c r="A3" s="42" t="n"/>
      <c r="B3" s="41" t="n"/>
      <c r="C3" s="41" t="n"/>
      <c r="D3" s="41" t="n"/>
      <c r="E3" s="41" t="n"/>
      <c r="F3" s="42" t="n"/>
      <c r="G3" s="41" t="n"/>
      <c r="H3" s="41" t="n"/>
      <c r="I3" s="41" t="n"/>
      <c r="J3" s="41" t="n"/>
      <c r="K3" s="41" t="n"/>
      <c r="L3" s="42" t="n"/>
      <c r="M3" s="41" t="n"/>
      <c r="N3" s="41" t="n"/>
      <c r="O3" s="41" t="n"/>
      <c r="X3" t="inlineStr">
        <is>
          <t>AXB</t>
        </is>
      </c>
      <c r="Y3" t="n">
        <v>2</v>
      </c>
    </row>
    <row r="4" ht="15" customHeight="1" s="21">
      <c r="A4" s="43" t="inlineStr">
        <is>
          <t xml:space="preserve"> </t>
        </is>
      </c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W4" t="n">
        <v>20</v>
      </c>
      <c r="X4" t="inlineStr">
        <is>
          <t>UUH</t>
        </is>
      </c>
      <c r="Y4" t="n">
        <v>2</v>
      </c>
    </row>
    <row r="5" ht="15" customHeight="1" s="21">
      <c r="A5" s="44" t="n"/>
      <c r="B5" s="44" t="n"/>
      <c r="C5" s="44" t="n"/>
      <c r="D5" s="41" t="n"/>
      <c r="E5" s="41" t="n"/>
      <c r="F5" s="41" t="n"/>
      <c r="G5" s="44" t="n"/>
      <c r="H5" s="45" t="inlineStr">
        <is>
          <t>Month</t>
        </is>
      </c>
      <c r="I5" s="41" t="n"/>
      <c r="J5" s="45" t="inlineStr">
        <is>
          <t>Days</t>
        </is>
      </c>
      <c r="K5" s="41" t="n"/>
      <c r="L5" s="41" t="n"/>
      <c r="M5" s="45" t="inlineStr">
        <is>
          <t>Total</t>
        </is>
      </c>
      <c r="N5" s="41" t="n"/>
      <c r="O5" s="41" t="n"/>
      <c r="Q5" t="inlineStr">
        <is>
          <t>Inst. Day</t>
        </is>
      </c>
      <c r="R5" t="inlineStr">
        <is>
          <t>TLC</t>
        </is>
      </c>
      <c r="S5" t="inlineStr">
        <is>
          <t>Exception</t>
        </is>
      </c>
      <c r="T5" t="inlineStr">
        <is>
          <t>Count&gt;</t>
        </is>
      </c>
      <c r="U5" t="inlineStr">
        <is>
          <t>Days count</t>
        </is>
      </c>
      <c r="V5" t="inlineStr">
        <is>
          <t>Paid count days</t>
        </is>
      </c>
      <c r="W5" t="inlineStr">
        <is>
          <t>Amount(EUR)</t>
        </is>
      </c>
      <c r="X5" t="inlineStr">
        <is>
          <t>OOZ</t>
        </is>
      </c>
      <c r="Y5" t="n">
        <v>2</v>
      </c>
    </row>
    <row r="6" ht="21.8" customHeight="1" s="21">
      <c r="A6" s="46" t="inlineStr">
        <is>
          <t>Job Role X</t>
        </is>
      </c>
      <c r="B6" s="42" t="inlineStr">
        <is>
          <t>BBR</t>
        </is>
      </c>
      <c r="C6" s="42" t="inlineStr">
        <is>
          <t xml:space="preserve">   ALPHA ONE</t>
        </is>
      </c>
      <c r="D6" s="41" t="n"/>
      <c r="E6" s="41" t="n"/>
      <c r="F6" s="41" t="n"/>
      <c r="G6" s="42" t="inlineStr">
        <is>
          <t xml:space="preserve">10019       </t>
        </is>
      </c>
      <c r="H6" s="47" t="n"/>
      <c r="I6" s="41" t="n"/>
      <c r="J6" s="47" t="n"/>
      <c r="K6" s="41" t="n"/>
      <c r="L6" s="41" t="n"/>
      <c r="M6" s="47" t="n"/>
      <c r="N6" s="41" t="n"/>
      <c r="O6" s="41" t="n"/>
      <c r="Q6">
        <f>LEFT(I6,9)</f>
        <v/>
      </c>
      <c r="R6">
        <f>TRIM(B6)</f>
        <v/>
      </c>
      <c r="S6">
        <f>COUNTIF($X$1:$X$9,R6) &gt; 0</f>
        <v/>
      </c>
      <c r="T6">
        <f>IF(AND(S6=FALSE,LEN(R6)&gt;2),4,IF(S6=TRUE,INDEX($Y$1:$Y$9,MATCH(R6,$X$1:$X$9,0)),""))</f>
        <v/>
      </c>
      <c r="U6">
        <f>IF(R6&lt;&gt;"",IF(Q11="",0,MATCH(TRUE,INDEX(Q11:$Q$1100="",0),0)-1),"")</f>
        <v/>
      </c>
      <c r="V6">
        <f>IF(AND(T6&lt;&gt;"",U6&lt;&gt;""),IF(U6-T6&lt;=0,"Falls Short",U6-T6),"")</f>
        <v/>
      </c>
      <c r="W6">
        <f>IF(AND(R6&lt;&gt;"",V6&lt;&gt;"Falls Short"),20*V6,"")</f>
        <v/>
      </c>
      <c r="X6" t="inlineStr">
        <is>
          <t>BHL</t>
        </is>
      </c>
      <c r="Y6" t="n">
        <v>2</v>
      </c>
    </row>
    <row r="7" ht="15" customHeight="1" s="21">
      <c r="A7" s="42" t="n"/>
      <c r="B7" s="46" t="n"/>
      <c r="C7" s="46" t="n"/>
      <c r="D7" s="41" t="n"/>
      <c r="E7" s="41" t="n"/>
      <c r="F7" s="41" t="n"/>
      <c r="G7" s="46" t="n"/>
      <c r="H7" s="46" t="n"/>
      <c r="I7" s="41" t="n"/>
      <c r="J7" s="46" t="n"/>
      <c r="K7" s="41" t="n"/>
      <c r="L7" s="41" t="n"/>
      <c r="M7" s="48" t="inlineStr">
        <is>
          <t>4</t>
        </is>
      </c>
      <c r="N7" s="41" t="n"/>
      <c r="O7" s="41" t="n"/>
      <c r="Q7">
        <f>LEFT(I7,9)</f>
        <v/>
      </c>
      <c r="R7">
        <f>TRIM(B7)</f>
        <v/>
      </c>
      <c r="S7">
        <f>COUNTIF($X$1:$X$9,R7) &gt; 0</f>
        <v/>
      </c>
      <c r="T7">
        <f>IF(AND(S7=FALSE,LEN(R7)&gt;2),4,IF(S7=TRUE,INDEX($Y$1:$Y$9,MATCH(R7,$X$1:$X$9,0)),""))</f>
        <v/>
      </c>
      <c r="U7">
        <f>IF(R7&lt;&gt;"",IF(Q12="",0,MATCH(TRUE,INDEX(Q12:$Q$1100="",0),0)-1),"")</f>
        <v/>
      </c>
      <c r="V7">
        <f>IF(AND(T7&lt;&gt;"",U7&lt;&gt;""),IF(U7-T7&lt;=0,"Falls Short",U7-T7),"")</f>
        <v/>
      </c>
      <c r="W7">
        <f>IF(AND(R7&lt;&gt;"",V7&lt;&gt;"Falls Short"),20*V7,"")</f>
        <v/>
      </c>
      <c r="X7" t="inlineStr">
        <is>
          <t>PPB</t>
        </is>
      </c>
      <c r="Y7" t="n">
        <v>3</v>
      </c>
    </row>
    <row r="8" ht="15" customHeight="1" s="21">
      <c r="A8" s="43" t="inlineStr">
        <is>
          <t xml:space="preserve"> </t>
        </is>
      </c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  <c r="K8" s="41" t="n"/>
      <c r="L8" s="41" t="n"/>
      <c r="M8" s="41" t="n"/>
      <c r="N8" s="41" t="n"/>
      <c r="O8" s="41" t="n"/>
      <c r="Q8">
        <f>LEFT(I8,9)</f>
        <v/>
      </c>
      <c r="R8">
        <f>TRIM(B8)</f>
        <v/>
      </c>
      <c r="S8">
        <f>COUNTIF($X$1:$X$9,R8) &gt; 0</f>
        <v/>
      </c>
      <c r="T8">
        <f>IF(AND(S8=FALSE,LEN(R8)&gt;2),4,IF(S8=TRUE,INDEX($Y$1:$Y$9,MATCH(R8,$X$1:$X$9,0)),""))</f>
        <v/>
      </c>
      <c r="U8">
        <f>IF(R8&lt;&gt;"",IF(Q13="",0,MATCH(TRUE,INDEX(Q13:$Q$1100="",0),0)-1),"")</f>
        <v/>
      </c>
      <c r="V8">
        <f>IF(AND(T8&lt;&gt;"",U8&lt;&gt;""),IF(U8-T8&lt;=0,"Falls Short",U8-T8),"")</f>
        <v/>
      </c>
      <c r="W8">
        <f>IF(AND(R8&lt;&gt;"",V8&lt;&gt;"Falls Short"),20*V8,"")</f>
        <v/>
      </c>
      <c r="X8" t="inlineStr">
        <is>
          <t>BEI</t>
        </is>
      </c>
      <c r="Y8" t="n">
        <v>3</v>
      </c>
    </row>
    <row r="9" ht="15" customHeight="1" s="21">
      <c r="A9" s="46" t="n"/>
      <c r="B9" s="41" t="n"/>
      <c r="C9" s="41" t="n"/>
      <c r="D9" s="41" t="n"/>
      <c r="E9" s="46" t="n"/>
      <c r="F9" s="41" t="n"/>
      <c r="G9" s="41" t="n"/>
      <c r="H9" s="48" t="inlineStr">
        <is>
          <t>12 / 2025</t>
        </is>
      </c>
      <c r="I9" s="41" t="n"/>
      <c r="J9" s="48" t="inlineStr">
        <is>
          <t>4</t>
        </is>
      </c>
      <c r="K9" s="46" t="n"/>
      <c r="L9" s="41" t="n"/>
      <c r="M9" s="41" t="n"/>
      <c r="N9" s="41" t="n"/>
      <c r="O9" s="41" t="n"/>
      <c r="Q9">
        <f>LEFT(I9,9)</f>
        <v/>
      </c>
      <c r="R9">
        <f>TRIM(B9)</f>
        <v/>
      </c>
      <c r="S9">
        <f>COUNTIF($X$1:$X$9,R9) &gt; 0</f>
        <v/>
      </c>
      <c r="T9">
        <f>IF(AND(S9=FALSE,LEN(R9)&gt;2),4,IF(S9=TRUE,INDEX($Y$1:$Y$9,MATCH(R9,$X$1:$X$9,0)),""))</f>
        <v/>
      </c>
      <c r="U9">
        <f>IF(R9&lt;&gt;"",IF(Q14="",0,MATCH(TRUE,INDEX(Q14:$Q$1100="",0),0)-1),"")</f>
        <v/>
      </c>
      <c r="V9">
        <f>IF(AND(T9&lt;&gt;"",U9&lt;&gt;""),IF(U9-T9&lt;=0,"Falls Short",U9-T9),"")</f>
        <v/>
      </c>
      <c r="W9">
        <f>IF(AND(R9&lt;&gt;"",V9&lt;&gt;"Falls Short"),20*V9,"")</f>
        <v/>
      </c>
      <c r="X9" t="inlineStr">
        <is>
          <t>WWJ</t>
        </is>
      </c>
      <c r="Y9" t="n">
        <v>3</v>
      </c>
    </row>
    <row r="10" ht="15" customHeight="1" s="21">
      <c r="A10" s="43" t="inlineStr">
        <is>
          <t xml:space="preserve"> </t>
        </is>
      </c>
      <c r="B10" s="41" t="n"/>
      <c r="C10" s="41" t="n"/>
      <c r="D10" s="41" t="n"/>
      <c r="E10" s="41" t="n"/>
      <c r="F10" s="41" t="n"/>
      <c r="G10" s="41" t="n"/>
      <c r="H10" s="41" t="n"/>
      <c r="I10" s="41" t="n"/>
      <c r="J10" s="41" t="n"/>
      <c r="K10" s="41" t="n"/>
      <c r="L10" s="41" t="n"/>
      <c r="M10" s="41" t="n"/>
      <c r="N10" s="41" t="n"/>
      <c r="O10" s="41" t="n"/>
      <c r="Q10">
        <f>LEFT(I10,9)</f>
        <v/>
      </c>
      <c r="R10">
        <f>TRIM(B10)</f>
        <v/>
      </c>
      <c r="S10">
        <f>COUNTIF($X$1:$X$9,R10) &gt; 0</f>
        <v/>
      </c>
      <c r="T10">
        <f>IF(AND(S10=FALSE,LEN(R10)&gt;2),4,IF(S10=TRUE,INDEX($Y$1:$Y$9,MATCH(R10,$X$1:$X$9,0)),""))</f>
        <v/>
      </c>
      <c r="U10">
        <f>IF(R10&lt;&gt;"",IF(Q15="",0,MATCH(TRUE,INDEX(Q15:$Q$1100="",0),0)-1),"")</f>
        <v/>
      </c>
      <c r="V10">
        <f>IF(AND(T10&lt;&gt;"",U10&lt;&gt;""),IF(U10-T10&lt;=0,"Falls Short",U10-T10),"")</f>
        <v/>
      </c>
      <c r="W10">
        <f>IF(AND(R10&lt;&gt;"",V10&lt;&gt;"Falls Short"),20*V10,"")</f>
        <v/>
      </c>
    </row>
    <row r="11" ht="15" customHeight="1" s="21">
      <c r="A11" s="48" t="inlineStr">
        <is>
          <t xml:space="preserve"> </t>
        </is>
      </c>
      <c r="B11" s="41" t="n"/>
      <c r="C11" s="41" t="n"/>
      <c r="D11" s="46" t="n"/>
      <c r="E11" s="41" t="n"/>
      <c r="F11" s="41" t="n"/>
      <c r="G11" s="41" t="n"/>
      <c r="H11" s="41" t="n"/>
      <c r="I11" s="48" t="inlineStr">
        <is>
          <t>09-DEC-25</t>
        </is>
      </c>
      <c r="J11" s="41" t="n"/>
      <c r="K11" s="48" t="inlineStr">
        <is>
          <t>Training C</t>
        </is>
      </c>
      <c r="L11" s="41" t="n"/>
      <c r="M11" s="48" t="inlineStr">
        <is>
          <t xml:space="preserve">CDI </t>
        </is>
      </c>
      <c r="N11" s="41" t="n"/>
      <c r="O11" s="41" t="n"/>
      <c r="Q11">
        <f>LEFT(I11,9)</f>
        <v/>
      </c>
      <c r="R11">
        <f>TRIM(B11)</f>
        <v/>
      </c>
      <c r="S11">
        <f>COUNTIF($X$1:$X$9,R11) &gt; 0</f>
        <v/>
      </c>
      <c r="T11">
        <f>IF(AND(S11=FALSE,LEN(R11)&gt;2),4,IF(S11=TRUE,INDEX($Y$1:$Y$9,MATCH(R11,$X$1:$X$9,0)),""))</f>
        <v/>
      </c>
      <c r="U11">
        <f>IF(R11&lt;&gt;"",IF(Q16="",0,MATCH(TRUE,INDEX(Q16:$Q$1100="",0),0)-1),"")</f>
        <v/>
      </c>
      <c r="V11">
        <f>IF(AND(T11&lt;&gt;"",U11&lt;&gt;""),IF(U11-T11&lt;=0,"Falls Short",U11-T11),"")</f>
        <v/>
      </c>
      <c r="W11">
        <f>IF(AND(R11&lt;&gt;"",V11&lt;&gt;"Falls Short"),20*V11,"")</f>
        <v/>
      </c>
    </row>
    <row r="12" ht="15" customHeight="1" s="21">
      <c r="A12" s="48" t="inlineStr">
        <is>
          <t xml:space="preserve"> </t>
        </is>
      </c>
      <c r="B12" s="41" t="n"/>
      <c r="C12" s="41" t="n"/>
      <c r="D12" s="46" t="n"/>
      <c r="E12" s="41" t="n"/>
      <c r="F12" s="41" t="n"/>
      <c r="G12" s="41" t="n"/>
      <c r="H12" s="41" t="n"/>
      <c r="I12" s="48" t="inlineStr">
        <is>
          <t>10-DEC-25</t>
        </is>
      </c>
      <c r="J12" s="41" t="n"/>
      <c r="K12" s="48" t="inlineStr">
        <is>
          <t>Training C</t>
        </is>
      </c>
      <c r="L12" s="41" t="n"/>
      <c r="M12" s="48" t="inlineStr">
        <is>
          <t xml:space="preserve">CDI </t>
        </is>
      </c>
      <c r="N12" s="41" t="n"/>
      <c r="O12" s="41" t="n"/>
      <c r="Q12">
        <f>LEFT(I12,9)</f>
        <v/>
      </c>
      <c r="R12">
        <f>TRIM(B12)</f>
        <v/>
      </c>
      <c r="S12">
        <f>COUNTIF($X$1:$X$9,R12) &gt; 0</f>
        <v/>
      </c>
      <c r="T12">
        <f>IF(AND(S12=FALSE,LEN(R12)&gt;2),4,IF(S12=TRUE,INDEX($Y$1:$Y$9,MATCH(R12,$X$1:$X$9,0)),""))</f>
        <v/>
      </c>
      <c r="U12">
        <f>IF(R12&lt;&gt;"",IF(Q17="",0,MATCH(TRUE,INDEX(Q17:$Q$1100="",0),0)-1),"")</f>
        <v/>
      </c>
      <c r="V12">
        <f>IF(AND(T12&lt;&gt;"",U12&lt;&gt;""),IF(U12-T12&lt;=0,"Falls Short",U12-T12),"")</f>
        <v/>
      </c>
      <c r="W12">
        <f>IF(AND(R12&lt;&gt;"",V12&lt;&gt;"Falls Short"),20*V12,"")</f>
        <v/>
      </c>
    </row>
    <row r="13" ht="15" customHeight="1" s="21">
      <c r="A13" s="48" t="inlineStr">
        <is>
          <t xml:space="preserve"> </t>
        </is>
      </c>
      <c r="B13" s="41" t="n"/>
      <c r="C13" s="41" t="n"/>
      <c r="D13" s="46" t="n"/>
      <c r="E13" s="41" t="n"/>
      <c r="F13" s="41" t="n"/>
      <c r="G13" s="41" t="n"/>
      <c r="H13" s="41" t="n"/>
      <c r="I13" s="48" t="inlineStr">
        <is>
          <t>11-DEC-25</t>
        </is>
      </c>
      <c r="J13" s="41" t="n"/>
      <c r="K13" s="48" t="inlineStr">
        <is>
          <t>Training C</t>
        </is>
      </c>
      <c r="L13" s="41" t="n"/>
      <c r="M13" s="48" t="inlineStr">
        <is>
          <t xml:space="preserve">CDI </t>
        </is>
      </c>
      <c r="N13" s="41" t="n"/>
      <c r="O13" s="41" t="n"/>
      <c r="Q13">
        <f>LEFT(I13,9)</f>
        <v/>
      </c>
      <c r="R13">
        <f>TRIM(B13)</f>
        <v/>
      </c>
      <c r="S13">
        <f>COUNTIF($X$1:$X$9,R13) &gt; 0</f>
        <v/>
      </c>
      <c r="T13">
        <f>IF(AND(S13=FALSE,LEN(R13)&gt;2),4,IF(S13=TRUE,INDEX($Y$1:$Y$9,MATCH(R13,$X$1:$X$9,0)),""))</f>
        <v/>
      </c>
      <c r="U13">
        <f>IF(R13&lt;&gt;"",IF(Q18="",0,MATCH(TRUE,INDEX(Q18:$Q$1100="",0),0)-1),"")</f>
        <v/>
      </c>
      <c r="V13">
        <f>IF(AND(T13&lt;&gt;"",U13&lt;&gt;""),IF(U13-T13&lt;=0,"Falls Short",U13-T13),"")</f>
        <v/>
      </c>
      <c r="W13">
        <f>IF(AND(R13&lt;&gt;"",V13&lt;&gt;"Falls Short"),20*V13,"")</f>
        <v/>
      </c>
    </row>
    <row r="14" ht="15" customHeight="1" s="21">
      <c r="A14" s="48" t="inlineStr">
        <is>
          <t xml:space="preserve"> </t>
        </is>
      </c>
      <c r="B14" s="41" t="n"/>
      <c r="C14" s="41" t="n"/>
      <c r="D14" s="46" t="n"/>
      <c r="E14" s="41" t="n"/>
      <c r="F14" s="41" t="n"/>
      <c r="G14" s="41" t="n"/>
      <c r="H14" s="41" t="n"/>
      <c r="I14" s="48" t="inlineStr">
        <is>
          <t>21-DEC-25</t>
        </is>
      </c>
      <c r="J14" s="41" t="n"/>
      <c r="K14" s="48" t="inlineStr">
        <is>
          <t>Training C</t>
        </is>
      </c>
      <c r="L14" s="41" t="n"/>
      <c r="M14" s="48" t="inlineStr">
        <is>
          <t xml:space="preserve">CDI </t>
        </is>
      </c>
      <c r="N14" s="41" t="n"/>
      <c r="O14" s="41" t="n"/>
      <c r="Q14">
        <f>LEFT(I14,9)</f>
        <v/>
      </c>
      <c r="R14">
        <f>TRIM(B14)</f>
        <v/>
      </c>
      <c r="S14">
        <f>COUNTIF($X$1:$X$9,R14) &gt; 0</f>
        <v/>
      </c>
      <c r="T14">
        <f>IF(AND(S14=FALSE,LEN(R14)&gt;2),4,IF(S14=TRUE,INDEX($Y$1:$Y$9,MATCH(R14,$X$1:$X$9,0)),""))</f>
        <v/>
      </c>
      <c r="U14">
        <f>IF(R14&lt;&gt;"",IF(Q19="",0,MATCH(TRUE,INDEX(Q19:$Q$1100="",0),0)-1),"")</f>
        <v/>
      </c>
      <c r="V14">
        <f>IF(AND(T14&lt;&gt;"",U14&lt;&gt;""),IF(U14-T14&lt;=0,"Falls Short",U14-T14),"")</f>
        <v/>
      </c>
      <c r="W14">
        <f>IF(AND(R14&lt;&gt;"",V14&lt;&gt;"Falls Short"),20*V14,"")</f>
        <v/>
      </c>
    </row>
    <row r="15" ht="15" customHeight="1" s="21">
      <c r="A15" s="49" t="inlineStr">
        <is>
          <t xml:space="preserve"> </t>
        </is>
      </c>
      <c r="B15" s="41" t="n"/>
      <c r="C15" s="41" t="n"/>
      <c r="D15" s="41" t="n"/>
      <c r="E15" s="41" t="n"/>
      <c r="F15" s="41" t="n"/>
      <c r="G15" s="41" t="n"/>
      <c r="H15" s="41" t="n"/>
      <c r="I15" s="41" t="n"/>
      <c r="J15" s="41" t="n"/>
      <c r="K15" s="41" t="n"/>
      <c r="L15" s="41" t="n"/>
      <c r="M15" s="41" t="n"/>
      <c r="N15" s="41" t="n"/>
      <c r="O15" s="41" t="n"/>
      <c r="Q15">
        <f>LEFT(I15,9)</f>
        <v/>
      </c>
      <c r="R15">
        <f>TRIM(B15)</f>
        <v/>
      </c>
      <c r="S15">
        <f>COUNTIF($X$1:$X$9,R15) &gt; 0</f>
        <v/>
      </c>
      <c r="T15">
        <f>IF(AND(S15=FALSE,LEN(R15)&gt;2),4,IF(S15=TRUE,INDEX($Y$1:$Y$9,MATCH(R15,$X$1:$X$9,0)),""))</f>
        <v/>
      </c>
      <c r="U15">
        <f>IF(R15&lt;&gt;"",IF(Q20="",0,MATCH(TRUE,INDEX(Q20:$Q$1100="",0),0)-1),"")</f>
        <v/>
      </c>
      <c r="V15">
        <f>IF(AND(T15&lt;&gt;"",U15&lt;&gt;""),IF(U15-T15&lt;=0,"Falls Short",U15-T15),"")</f>
        <v/>
      </c>
      <c r="W15">
        <f>IF(AND(R15&lt;&gt;"",V15&lt;&gt;"Falls Short"),20*V15,"")</f>
        <v/>
      </c>
    </row>
    <row r="16" ht="15" customHeight="1" s="21">
      <c r="A16" s="49" t="inlineStr">
        <is>
          <t xml:space="preserve"> </t>
        </is>
      </c>
      <c r="B16" s="41" t="n"/>
      <c r="C16" s="41" t="n"/>
      <c r="D16" s="41" t="n"/>
      <c r="E16" s="41" t="n"/>
      <c r="F16" s="41" t="n"/>
      <c r="G16" s="41" t="n"/>
      <c r="H16" s="41" t="n"/>
      <c r="I16" s="41" t="n"/>
      <c r="J16" s="41" t="n"/>
      <c r="K16" s="41" t="n"/>
      <c r="L16" s="41" t="n"/>
      <c r="M16" s="41" t="n"/>
      <c r="N16" s="41" t="n"/>
      <c r="O16" s="41" t="n"/>
      <c r="Q16">
        <f>LEFT(I16,9)</f>
        <v/>
      </c>
      <c r="R16">
        <f>TRIM(B16)</f>
        <v/>
      </c>
      <c r="S16">
        <f>COUNTIF($X$1:$X$9,R16) &gt; 0</f>
        <v/>
      </c>
      <c r="T16">
        <f>IF(AND(S16=FALSE,LEN(R16)&gt;2),4,IF(S16=TRUE,INDEX($Y$1:$Y$9,MATCH(R16,$X$1:$X$9,0)),""))</f>
        <v/>
      </c>
      <c r="U16">
        <f>IF(R16&lt;&gt;"",IF(Q21="",0,MATCH(TRUE,INDEX(Q21:$Q$1100="",0),0)-1),"")</f>
        <v/>
      </c>
      <c r="V16">
        <f>IF(AND(T16&lt;&gt;"",U16&lt;&gt;""),IF(U16-T16&lt;=0,"Falls Short",U16-T16),"")</f>
        <v/>
      </c>
      <c r="W16">
        <f>IF(AND(R16&lt;&gt;"",V16&lt;&gt;"Falls Short"),20*V16,"")</f>
        <v/>
      </c>
    </row>
    <row r="17" ht="15" customHeight="1" s="21">
      <c r="A17" s="43" t="inlineStr">
        <is>
          <t xml:space="preserve"> </t>
        </is>
      </c>
      <c r="B17" s="41" t="n"/>
      <c r="C17" s="41" t="n"/>
      <c r="D17" s="41" t="n"/>
      <c r="E17" s="41" t="n"/>
      <c r="F17" s="41" t="n"/>
      <c r="G17" s="41" t="n"/>
      <c r="H17" s="41" t="n"/>
      <c r="I17" s="41" t="n"/>
      <c r="J17" s="41" t="n"/>
      <c r="K17" s="41" t="n"/>
      <c r="L17" s="41" t="n"/>
      <c r="M17" s="41" t="n"/>
      <c r="N17" s="41" t="n"/>
      <c r="O17" s="41" t="n"/>
      <c r="Q17">
        <f>LEFT(I17,9)</f>
        <v/>
      </c>
      <c r="R17">
        <f>TRIM(B17)</f>
        <v/>
      </c>
      <c r="S17">
        <f>COUNTIF($X$1:$X$9,R17) &gt; 0</f>
        <v/>
      </c>
      <c r="T17">
        <f>IF(AND(S17=FALSE,LEN(R17)&gt;2),4,IF(S17=TRUE,INDEX($Y$1:$Y$9,MATCH(R17,$X$1:$X$9,0)),""))</f>
        <v/>
      </c>
      <c r="U17">
        <f>IF(R17&lt;&gt;"",IF(Q22="",0,MATCH(TRUE,INDEX(Q22:$Q$1100="",0),0)-1),"")</f>
        <v/>
      </c>
      <c r="V17">
        <f>IF(AND(T17&lt;&gt;"",U17&lt;&gt;""),IF(U17-T17&lt;=0,"Falls Short",U17-T17),"")</f>
        <v/>
      </c>
      <c r="W17">
        <f>IF(AND(R17&lt;&gt;"",V17&lt;&gt;"Falls Short"),20*V17,"")</f>
        <v/>
      </c>
    </row>
    <row r="18" ht="15" customHeight="1" s="21">
      <c r="A18" s="44" t="n"/>
      <c r="B18" s="44" t="n"/>
      <c r="C18" s="44" t="n"/>
      <c r="D18" s="41" t="n"/>
      <c r="E18" s="41" t="n"/>
      <c r="F18" s="41" t="n"/>
      <c r="G18" s="44" t="n"/>
      <c r="H18" s="45" t="inlineStr">
        <is>
          <t>Month</t>
        </is>
      </c>
      <c r="I18" s="41" t="n"/>
      <c r="J18" s="45" t="inlineStr">
        <is>
          <t>Days</t>
        </is>
      </c>
      <c r="K18" s="41" t="n"/>
      <c r="L18" s="41" t="n"/>
      <c r="M18" s="45" t="inlineStr">
        <is>
          <t>Total</t>
        </is>
      </c>
      <c r="N18" s="41" t="n"/>
      <c r="O18" s="41" t="n"/>
      <c r="Q18">
        <f>LEFT(I18,9)</f>
        <v/>
      </c>
      <c r="R18">
        <f>TRIM(B18)</f>
        <v/>
      </c>
      <c r="S18">
        <f>COUNTIF($X$1:$X$9,R18) &gt; 0</f>
        <v/>
      </c>
      <c r="T18">
        <f>IF(AND(S18=FALSE,LEN(R18)&gt;2),4,IF(S18=TRUE,INDEX($Y$1:$Y$9,MATCH(R18,$X$1:$X$9,0)),""))</f>
        <v/>
      </c>
      <c r="U18">
        <f>IF(R18&lt;&gt;"",IF(Q23="",0,MATCH(TRUE,INDEX(Q23:$Q$1100="",0),0)-1),"")</f>
        <v/>
      </c>
      <c r="V18">
        <f>IF(AND(T18&lt;&gt;"",U18&lt;&gt;""),IF(U18-T18&lt;=0,"Falls Short",U18-T18),"")</f>
        <v/>
      </c>
      <c r="W18">
        <f>IF(AND(R18&lt;&gt;"",V18&lt;&gt;"Falls Short"),20*V18,"")</f>
        <v/>
      </c>
    </row>
    <row r="19" ht="21.8" customHeight="1" s="21">
      <c r="A19" s="46" t="inlineStr">
        <is>
          <t>Job Role X</t>
        </is>
      </c>
      <c r="B19" s="42" t="inlineStr">
        <is>
          <t>NNY</t>
        </is>
      </c>
      <c r="C19" s="42" t="inlineStr">
        <is>
          <t xml:space="preserve">   MU TWELVE</t>
        </is>
      </c>
      <c r="D19" s="41" t="n"/>
      <c r="E19" s="41" t="n"/>
      <c r="F19" s="41" t="n"/>
      <c r="G19" s="42" t="inlineStr">
        <is>
          <t xml:space="preserve">10036       </t>
        </is>
      </c>
      <c r="H19" s="47" t="n"/>
      <c r="I19" s="41" t="n"/>
      <c r="J19" s="47" t="n"/>
      <c r="K19" s="41" t="n"/>
      <c r="L19" s="41" t="n"/>
      <c r="M19" s="47" t="n"/>
      <c r="N19" s="41" t="n"/>
      <c r="O19" s="41" t="n"/>
      <c r="Q19">
        <f>LEFT(I19,9)</f>
        <v/>
      </c>
      <c r="R19">
        <f>TRIM(B19)</f>
        <v/>
      </c>
      <c r="S19">
        <f>COUNTIF($X$1:$X$9,R19) &gt; 0</f>
        <v/>
      </c>
      <c r="T19">
        <f>IF(AND(S19=FALSE,LEN(R19)&gt;2),4,IF(S19=TRUE,INDEX($Y$1:$Y$9,MATCH(R19,$X$1:$X$9,0)),""))</f>
        <v/>
      </c>
      <c r="U19">
        <f>IF(R19&lt;&gt;"",IF(Q24="",0,MATCH(TRUE,INDEX(Q24:$Q$1100="",0),0)-1),"")</f>
        <v/>
      </c>
      <c r="V19">
        <f>IF(AND(T19&lt;&gt;"",U19&lt;&gt;""),IF(U19-T19&lt;=0,"Falls Short",U19-T19),"")</f>
        <v/>
      </c>
      <c r="W19">
        <f>IF(AND(R19&lt;&gt;"",V19&lt;&gt;"Falls Short"),20*V19,"")</f>
        <v/>
      </c>
    </row>
    <row r="20" ht="15" customHeight="1" s="21">
      <c r="A20" s="42" t="n"/>
      <c r="B20" s="46" t="n"/>
      <c r="C20" s="46" t="n"/>
      <c r="D20" s="41" t="n"/>
      <c r="E20" s="41" t="n"/>
      <c r="F20" s="41" t="n"/>
      <c r="G20" s="46" t="n"/>
      <c r="H20" s="46" t="n"/>
      <c r="I20" s="41" t="n"/>
      <c r="J20" s="46" t="n"/>
      <c r="K20" s="41" t="n"/>
      <c r="L20" s="41" t="n"/>
      <c r="M20" s="48" t="inlineStr">
        <is>
          <t>3</t>
        </is>
      </c>
      <c r="N20" s="41" t="n"/>
      <c r="O20" s="41" t="n"/>
      <c r="Q20">
        <f>LEFT(I20,9)</f>
        <v/>
      </c>
      <c r="R20">
        <f>TRIM(B20)</f>
        <v/>
      </c>
      <c r="S20">
        <f>COUNTIF($X$1:$X$9,R20) &gt; 0</f>
        <v/>
      </c>
      <c r="T20">
        <f>IF(AND(S20=FALSE,LEN(R20)&gt;2),4,IF(S20=TRUE,INDEX($Y$1:$Y$9,MATCH(R20,$X$1:$X$9,0)),""))</f>
        <v/>
      </c>
      <c r="U20">
        <f>IF(R20&lt;&gt;"",IF(Q25="",0,MATCH(TRUE,INDEX(Q25:$Q$1100="",0),0)-1),"")</f>
        <v/>
      </c>
      <c r="V20">
        <f>IF(AND(T20&lt;&gt;"",U20&lt;&gt;""),IF(U20-T20&lt;=0,"Falls Short",U20-T20),"")</f>
        <v/>
      </c>
      <c r="W20">
        <f>IF(AND(R20&lt;&gt;"",V20&lt;&gt;"Falls Short"),20*V20,"")</f>
        <v/>
      </c>
    </row>
    <row r="21" ht="15" customHeight="1" s="21">
      <c r="A21" s="43" t="inlineStr">
        <is>
          <t xml:space="preserve"> </t>
        </is>
      </c>
      <c r="B21" s="41" t="n"/>
      <c r="C21" s="41" t="n"/>
      <c r="D21" s="41" t="n"/>
      <c r="E21" s="41" t="n"/>
      <c r="F21" s="41" t="n"/>
      <c r="G21" s="41" t="n"/>
      <c r="H21" s="41" t="n"/>
      <c r="I21" s="41" t="n"/>
      <c r="J21" s="41" t="n"/>
      <c r="K21" s="41" t="n"/>
      <c r="L21" s="41" t="n"/>
      <c r="M21" s="41" t="n"/>
      <c r="N21" s="41" t="n"/>
      <c r="O21" s="41" t="n"/>
      <c r="Q21">
        <f>LEFT(I21,9)</f>
        <v/>
      </c>
      <c r="R21">
        <f>TRIM(B21)</f>
        <v/>
      </c>
      <c r="S21">
        <f>COUNTIF($X$1:$X$9,R21) &gt; 0</f>
        <v/>
      </c>
      <c r="T21">
        <f>IF(AND(S21=FALSE,LEN(R21)&gt;2),4,IF(S21=TRUE,INDEX($Y$1:$Y$9,MATCH(R21,$X$1:$X$9,0)),""))</f>
        <v/>
      </c>
      <c r="U21">
        <f>IF(R21&lt;&gt;"",IF(Q26="",0,MATCH(TRUE,INDEX(Q26:$Q$1100="",0),0)-1),"")</f>
        <v/>
      </c>
      <c r="V21">
        <f>IF(AND(T21&lt;&gt;"",U21&lt;&gt;""),IF(U21-T21&lt;=0,"Falls Short",U21-T21),"")</f>
        <v/>
      </c>
      <c r="W21">
        <f>IF(AND(R21&lt;&gt;"",V21&lt;&gt;"Falls Short"),20*V21,"")</f>
        <v/>
      </c>
    </row>
    <row r="22" ht="15" customHeight="1" s="21">
      <c r="A22" s="46" t="n"/>
      <c r="B22" s="41" t="n"/>
      <c r="C22" s="41" t="n"/>
      <c r="D22" s="41" t="n"/>
      <c r="E22" s="46" t="n"/>
      <c r="F22" s="41" t="n"/>
      <c r="G22" s="41" t="n"/>
      <c r="H22" s="48" t="inlineStr">
        <is>
          <t>12 / 2025</t>
        </is>
      </c>
      <c r="I22" s="41" t="n"/>
      <c r="J22" s="48" t="inlineStr">
        <is>
          <t>3</t>
        </is>
      </c>
      <c r="K22" s="46" t="n"/>
      <c r="L22" s="41" t="n"/>
      <c r="M22" s="41" t="n"/>
      <c r="N22" s="41" t="n"/>
      <c r="O22" s="41" t="n"/>
      <c r="Q22">
        <f>LEFT(I22,9)</f>
        <v/>
      </c>
      <c r="R22">
        <f>TRIM(B22)</f>
        <v/>
      </c>
      <c r="S22">
        <f>COUNTIF($X$1:$X$9,R22) &gt; 0</f>
        <v/>
      </c>
      <c r="T22">
        <f>IF(AND(S22=FALSE,LEN(R22)&gt;2),4,IF(S22=TRUE,INDEX($Y$1:$Y$9,MATCH(R22,$X$1:$X$9,0)),""))</f>
        <v/>
      </c>
      <c r="U22">
        <f>IF(R22&lt;&gt;"",IF(Q27="",0,MATCH(TRUE,INDEX(Q27:$Q$1100="",0),0)-1),"")</f>
        <v/>
      </c>
      <c r="V22">
        <f>IF(AND(T22&lt;&gt;"",U22&lt;&gt;""),IF(U22-T22&lt;=0,"Falls Short",U22-T22),"")</f>
        <v/>
      </c>
      <c r="W22">
        <f>IF(AND(R22&lt;&gt;"",V22&lt;&gt;"Falls Short"),20*V22,"")</f>
        <v/>
      </c>
    </row>
    <row r="23" ht="15" customHeight="1" s="21">
      <c r="A23" s="43" t="inlineStr">
        <is>
          <t xml:space="preserve"> </t>
        </is>
      </c>
      <c r="B23" s="41" t="n"/>
      <c r="C23" s="41" t="n"/>
      <c r="D23" s="41" t="n"/>
      <c r="E23" s="41" t="n"/>
      <c r="F23" s="41" t="n"/>
      <c r="G23" s="41" t="n"/>
      <c r="H23" s="41" t="n"/>
      <c r="I23" s="41" t="n"/>
      <c r="J23" s="41" t="n"/>
      <c r="K23" s="41" t="n"/>
      <c r="L23" s="41" t="n"/>
      <c r="M23" s="41" t="n"/>
      <c r="N23" s="41" t="n"/>
      <c r="O23" s="41" t="n"/>
      <c r="Q23">
        <f>LEFT(I23,9)</f>
        <v/>
      </c>
      <c r="R23">
        <f>TRIM(B23)</f>
        <v/>
      </c>
      <c r="S23">
        <f>COUNTIF($X$1:$X$9,R23) &gt; 0</f>
        <v/>
      </c>
      <c r="T23">
        <f>IF(AND(S23=FALSE,LEN(R23)&gt;2),4,IF(S23=TRUE,INDEX($Y$1:$Y$9,MATCH(R23,$X$1:$X$9,0)),""))</f>
        <v/>
      </c>
      <c r="U23">
        <f>IF(R23&lt;&gt;"",IF(Q28="",0,MATCH(TRUE,INDEX(Q28:$Q$1100="",0),0)-1),"")</f>
        <v/>
      </c>
      <c r="V23">
        <f>IF(AND(T23&lt;&gt;"",U23&lt;&gt;""),IF(U23-T23&lt;=0,"Falls Short",U23-T23),"")</f>
        <v/>
      </c>
      <c r="W23">
        <f>IF(AND(R23&lt;&gt;"",V23&lt;&gt;"Falls Short"),20*V23,"")</f>
        <v/>
      </c>
    </row>
    <row r="24" ht="15" customHeight="1" s="21">
      <c r="A24" s="48" t="inlineStr">
        <is>
          <t xml:space="preserve"> </t>
        </is>
      </c>
      <c r="B24" s="41" t="n"/>
      <c r="C24" s="41" t="n"/>
      <c r="D24" s="46" t="n"/>
      <c r="E24" s="41" t="n"/>
      <c r="F24" s="41" t="n"/>
      <c r="G24" s="41" t="n"/>
      <c r="H24" s="41" t="n"/>
      <c r="I24" s="48" t="inlineStr">
        <is>
          <t>09-DEC-25</t>
        </is>
      </c>
      <c r="J24" s="41" t="n"/>
      <c r="K24" s="48" t="inlineStr">
        <is>
          <t>Training C</t>
        </is>
      </c>
      <c r="L24" s="41" t="n"/>
      <c r="M24" s="48" t="inlineStr">
        <is>
          <t xml:space="preserve">CDI </t>
        </is>
      </c>
      <c r="N24" s="41" t="n"/>
      <c r="O24" s="41" t="n"/>
      <c r="Q24">
        <f>LEFT(I24,9)</f>
        <v/>
      </c>
      <c r="R24">
        <f>TRIM(B24)</f>
        <v/>
      </c>
      <c r="S24">
        <f>COUNTIF($X$1:$X$9,R24) &gt; 0</f>
        <v/>
      </c>
      <c r="T24">
        <f>IF(AND(S24=FALSE,LEN(R24)&gt;2),4,IF(S24=TRUE,INDEX($Y$1:$Y$9,MATCH(R24,$X$1:$X$9,0)),""))</f>
        <v/>
      </c>
      <c r="U24">
        <f>IF(R24&lt;&gt;"",IF(Q29="",0,MATCH(TRUE,INDEX(Q29:$Q$1100="",0),0)-1),"")</f>
        <v/>
      </c>
      <c r="V24">
        <f>IF(AND(T24&lt;&gt;"",U24&lt;&gt;""),IF(U24-T24&lt;=0,"Falls Short",U24-T24),"")</f>
        <v/>
      </c>
      <c r="W24">
        <f>IF(AND(R24&lt;&gt;"",V24&lt;&gt;"Falls Short"),20*V24,"")</f>
        <v/>
      </c>
    </row>
    <row r="25" ht="15" customHeight="1" s="21">
      <c r="A25" s="48" t="inlineStr">
        <is>
          <t xml:space="preserve"> </t>
        </is>
      </c>
      <c r="B25" s="41" t="n"/>
      <c r="C25" s="41" t="n"/>
      <c r="D25" s="46" t="n"/>
      <c r="E25" s="41" t="n"/>
      <c r="F25" s="41" t="n"/>
      <c r="G25" s="41" t="n"/>
      <c r="H25" s="41" t="n"/>
      <c r="I25" s="48" t="inlineStr">
        <is>
          <t>11-DEC-25</t>
        </is>
      </c>
      <c r="J25" s="41" t="n"/>
      <c r="K25" s="48" t="inlineStr">
        <is>
          <t>Training D</t>
        </is>
      </c>
      <c r="L25" s="41" t="n"/>
      <c r="M25" s="48" t="inlineStr">
        <is>
          <t xml:space="preserve">CDI </t>
        </is>
      </c>
      <c r="N25" s="41" t="n"/>
      <c r="O25" s="41" t="n"/>
      <c r="Q25">
        <f>LEFT(I25,9)</f>
        <v/>
      </c>
      <c r="R25">
        <f>TRIM(B25)</f>
        <v/>
      </c>
      <c r="S25">
        <f>COUNTIF($X$1:$X$9,R25) &gt; 0</f>
        <v/>
      </c>
      <c r="T25">
        <f>IF(AND(S25=FALSE,LEN(R25)&gt;2),4,IF(S25=TRUE,INDEX($Y$1:$Y$9,MATCH(R25,$X$1:$X$9,0)),""))</f>
        <v/>
      </c>
      <c r="U25">
        <f>IF(R25&lt;&gt;"",IF(Q30="",0,MATCH(TRUE,INDEX(Q30:$Q$1100="",0),0)-1),"")</f>
        <v/>
      </c>
      <c r="V25">
        <f>IF(AND(T25&lt;&gt;"",U25&lt;&gt;""),IF(U25-T25&lt;=0,"Falls Short",U25-T25),"")</f>
        <v/>
      </c>
      <c r="W25">
        <f>IF(AND(R25&lt;&gt;"",V25&lt;&gt;"Falls Short"),20*V25,"")</f>
        <v/>
      </c>
    </row>
    <row r="26" ht="15" customHeight="1" s="21">
      <c r="A26" s="48" t="inlineStr">
        <is>
          <t xml:space="preserve"> </t>
        </is>
      </c>
      <c r="B26" s="41" t="n"/>
      <c r="C26" s="41" t="n"/>
      <c r="D26" s="46" t="n"/>
      <c r="E26" s="41" t="n"/>
      <c r="F26" s="41" t="n"/>
      <c r="G26" s="41" t="n"/>
      <c r="H26" s="41" t="n"/>
      <c r="I26" s="48" t="inlineStr">
        <is>
          <t>12-DEC-25</t>
        </is>
      </c>
      <c r="J26" s="41" t="n"/>
      <c r="K26" s="48" t="inlineStr">
        <is>
          <t>Training C</t>
        </is>
      </c>
      <c r="L26" s="41" t="n"/>
      <c r="M26" s="48" t="inlineStr">
        <is>
          <t xml:space="preserve">CDI </t>
        </is>
      </c>
      <c r="N26" s="41" t="n"/>
      <c r="O26" s="41" t="n"/>
      <c r="Q26">
        <f>LEFT(I26,9)</f>
        <v/>
      </c>
      <c r="R26">
        <f>TRIM(B26)</f>
        <v/>
      </c>
      <c r="S26">
        <f>COUNTIF($X$1:$X$9,R26) &gt; 0</f>
        <v/>
      </c>
      <c r="T26">
        <f>IF(AND(S26=FALSE,LEN(R26)&gt;2),4,IF(S26=TRUE,INDEX($Y$1:$Y$9,MATCH(R26,$X$1:$X$9,0)),""))</f>
        <v/>
      </c>
      <c r="U26">
        <f>IF(R26&lt;&gt;"",IF(Q31="",0,MATCH(TRUE,INDEX(Q31:$Q$1100="",0),0)-1),"")</f>
        <v/>
      </c>
      <c r="V26">
        <f>IF(AND(T26&lt;&gt;"",U26&lt;&gt;""),IF(U26-T26&lt;=0,"Falls Short",U26-T26),"")</f>
        <v/>
      </c>
      <c r="W26">
        <f>IF(AND(R26&lt;&gt;"",V26&lt;&gt;"Falls Short"),20*V26,"")</f>
        <v/>
      </c>
    </row>
    <row r="27" ht="15" customHeight="1" s="21">
      <c r="A27" s="49" t="inlineStr">
        <is>
          <t xml:space="preserve"> </t>
        </is>
      </c>
      <c r="B27" s="41" t="n"/>
      <c r="C27" s="41" t="n"/>
      <c r="D27" s="41" t="n"/>
      <c r="E27" s="41" t="n"/>
      <c r="F27" s="41" t="n"/>
      <c r="G27" s="41" t="n"/>
      <c r="H27" s="41" t="n"/>
      <c r="I27" s="41" t="n"/>
      <c r="J27" s="41" t="n"/>
      <c r="K27" s="41" t="n"/>
      <c r="L27" s="41" t="n"/>
      <c r="M27" s="41" t="n"/>
      <c r="N27" s="41" t="n"/>
      <c r="O27" s="41" t="n"/>
      <c r="Q27">
        <f>LEFT(I27,9)</f>
        <v/>
      </c>
      <c r="R27">
        <f>TRIM(B27)</f>
        <v/>
      </c>
      <c r="S27">
        <f>COUNTIF($X$1:$X$9,R27) &gt; 0</f>
        <v/>
      </c>
      <c r="T27">
        <f>IF(AND(S27=FALSE,LEN(R27)&gt;2),4,IF(S27=TRUE,INDEX($Y$1:$Y$9,MATCH(R27,$X$1:$X$9,0)),""))</f>
        <v/>
      </c>
      <c r="U27">
        <f>IF(R27&lt;&gt;"",IF(Q32="",0,MATCH(TRUE,INDEX(Q32:$Q$1100="",0),0)-1),"")</f>
        <v/>
      </c>
      <c r="V27">
        <f>IF(AND(T27&lt;&gt;"",U27&lt;&gt;""),IF(U27-T27&lt;=0,"Falls Short",U27-T27),"")</f>
        <v/>
      </c>
      <c r="W27">
        <f>IF(AND(R27&lt;&gt;"",V27&lt;&gt;"Falls Short"),20*V27,"")</f>
        <v/>
      </c>
    </row>
    <row r="28" ht="15" customHeight="1" s="21">
      <c r="A28" s="49" t="inlineStr">
        <is>
          <t xml:space="preserve"> </t>
        </is>
      </c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41" t="n"/>
      <c r="O28" s="41" t="n"/>
      <c r="Q28">
        <f>LEFT(I28,9)</f>
        <v/>
      </c>
      <c r="R28">
        <f>TRIM(B28)</f>
        <v/>
      </c>
      <c r="S28">
        <f>COUNTIF($X$1:$X$9,R28) &gt; 0</f>
        <v/>
      </c>
      <c r="T28">
        <f>IF(AND(S28=FALSE,LEN(R28)&gt;2),4,IF(S28=TRUE,INDEX($Y$1:$Y$9,MATCH(R28,$X$1:$X$9,0)),""))</f>
        <v/>
      </c>
      <c r="U28">
        <f>IF(R28&lt;&gt;"",IF(Q33="",0,MATCH(TRUE,INDEX(Q33:$Q$1100="",0),0)-1),"")</f>
        <v/>
      </c>
      <c r="V28">
        <f>IF(AND(T28&lt;&gt;"",U28&lt;&gt;""),IF(U28-T28&lt;=0,"Falls Short",U28-T28),"")</f>
        <v/>
      </c>
      <c r="W28">
        <f>IF(AND(R28&lt;&gt;"",V28&lt;&gt;"Falls Short"),20*V28,"")</f>
        <v/>
      </c>
    </row>
    <row r="29" ht="15" customHeight="1" s="21">
      <c r="A29" s="43" t="inlineStr">
        <is>
          <t xml:space="preserve"> </t>
        </is>
      </c>
      <c r="B29" s="41" t="n"/>
      <c r="C29" s="41" t="n"/>
      <c r="D29" s="41" t="n"/>
      <c r="E29" s="41" t="n"/>
      <c r="F29" s="41" t="n"/>
      <c r="G29" s="41" t="n"/>
      <c r="H29" s="41" t="n"/>
      <c r="I29" s="41" t="n"/>
      <c r="J29" s="41" t="n"/>
      <c r="K29" s="41" t="n"/>
      <c r="L29" s="41" t="n"/>
      <c r="M29" s="41" t="n"/>
      <c r="N29" s="41" t="n"/>
      <c r="O29" s="41" t="n"/>
      <c r="Q29">
        <f>LEFT(I29,9)</f>
        <v/>
      </c>
      <c r="R29">
        <f>TRIM(B29)</f>
        <v/>
      </c>
      <c r="S29">
        <f>COUNTIF($X$1:$X$9,R29) &gt; 0</f>
        <v/>
      </c>
      <c r="T29">
        <f>IF(AND(S29=FALSE,LEN(R29)&gt;2),4,IF(S29=TRUE,INDEX($Y$1:$Y$9,MATCH(R29,$X$1:$X$9,0)),""))</f>
        <v/>
      </c>
      <c r="U29">
        <f>IF(R29&lt;&gt;"",IF(Q34="",0,MATCH(TRUE,INDEX(Q34:$Q$1100="",0),0)-1),"")</f>
        <v/>
      </c>
      <c r="V29">
        <f>IF(AND(T29&lt;&gt;"",U29&lt;&gt;""),IF(U29-T29&lt;=0,"Falls Short",U29-T29),"")</f>
        <v/>
      </c>
      <c r="W29">
        <f>IF(AND(R29&lt;&gt;"",V29&lt;&gt;"Falls Short"),20*V29,"")</f>
        <v/>
      </c>
    </row>
    <row r="30" ht="15" customHeight="1" s="21">
      <c r="A30" s="44" t="n"/>
      <c r="B30" s="44" t="n"/>
      <c r="C30" s="44" t="n"/>
      <c r="D30" s="41" t="n"/>
      <c r="E30" s="41" t="n"/>
      <c r="F30" s="41" t="n"/>
      <c r="G30" s="44" t="n"/>
      <c r="H30" s="45" t="inlineStr">
        <is>
          <t>Month</t>
        </is>
      </c>
      <c r="I30" s="41" t="n"/>
      <c r="J30" s="45" t="inlineStr">
        <is>
          <t>Days</t>
        </is>
      </c>
      <c r="K30" s="41" t="n"/>
      <c r="L30" s="41" t="n"/>
      <c r="M30" s="45" t="inlineStr">
        <is>
          <t>Total</t>
        </is>
      </c>
      <c r="N30" s="41" t="n"/>
      <c r="O30" s="41" t="n"/>
      <c r="Q30">
        <f>LEFT(I30,9)</f>
        <v/>
      </c>
      <c r="R30">
        <f>TRIM(B30)</f>
        <v/>
      </c>
      <c r="S30">
        <f>COUNTIF($X$1:$X$9,R30) &gt; 0</f>
        <v/>
      </c>
      <c r="T30">
        <f>IF(AND(S30=FALSE,LEN(R30)&gt;2),4,IF(S30=TRUE,INDEX($Y$1:$Y$9,MATCH(R30,$X$1:$X$9,0)),""))</f>
        <v/>
      </c>
      <c r="U30">
        <f>IF(R30&lt;&gt;"",IF(Q35="",0,MATCH(TRUE,INDEX(Q35:$Q$1100="",0),0)-1),"")</f>
        <v/>
      </c>
      <c r="V30">
        <f>IF(AND(T30&lt;&gt;"",U30&lt;&gt;""),IF(U30-T30&lt;=0,"Falls Short",U30-T30),"")</f>
        <v/>
      </c>
      <c r="W30">
        <f>IF(AND(R30&lt;&gt;"",V30&lt;&gt;"Falls Short"),20*V30,"")</f>
        <v/>
      </c>
    </row>
    <row r="31" ht="21.8" customHeight="1" s="21">
      <c r="A31" s="46" t="inlineStr">
        <is>
          <t>Job Role X</t>
        </is>
      </c>
      <c r="B31" s="42" t="inlineStr">
        <is>
          <t>MMW</t>
        </is>
      </c>
      <c r="C31" s="42" t="inlineStr">
        <is>
          <t xml:space="preserve">   NU THIRTEEN</t>
        </is>
      </c>
      <c r="D31" s="41" t="n"/>
      <c r="E31" s="41" t="n"/>
      <c r="F31" s="41" t="n"/>
      <c r="G31" s="42" t="inlineStr">
        <is>
          <t xml:space="preserve">10010       </t>
        </is>
      </c>
      <c r="H31" s="47" t="n"/>
      <c r="I31" s="41" t="n"/>
      <c r="J31" s="47" t="n"/>
      <c r="K31" s="41" t="n"/>
      <c r="L31" s="41" t="n"/>
      <c r="M31" s="47" t="n"/>
      <c r="N31" s="41" t="n"/>
      <c r="O31" s="41" t="n"/>
      <c r="Q31">
        <f>LEFT(I31,9)</f>
        <v/>
      </c>
      <c r="R31">
        <f>TRIM(B31)</f>
        <v/>
      </c>
      <c r="S31">
        <f>COUNTIF($X$1:$X$9,R31) &gt; 0</f>
        <v/>
      </c>
      <c r="T31">
        <f>IF(AND(S31=FALSE,LEN(R31)&gt;2),4,IF(S31=TRUE,INDEX($Y$1:$Y$9,MATCH(R31,$X$1:$X$9,0)),""))</f>
        <v/>
      </c>
      <c r="U31">
        <f>IF(R31&lt;&gt;"",IF(Q36="",0,MATCH(TRUE,INDEX(Q36:$Q$1100="",0),0)-1),"")</f>
        <v/>
      </c>
      <c r="V31">
        <f>IF(AND(T31&lt;&gt;"",U31&lt;&gt;""),IF(U31-T31&lt;=0,"Falls Short",U31-T31),"")</f>
        <v/>
      </c>
      <c r="W31">
        <f>IF(AND(R31&lt;&gt;"",V31&lt;&gt;"Falls Short"),20*V31,"")</f>
        <v/>
      </c>
    </row>
    <row r="32" ht="15" customHeight="1" s="21">
      <c r="A32" s="42" t="n"/>
      <c r="B32" s="46" t="n"/>
      <c r="C32" s="46" t="n"/>
      <c r="D32" s="41" t="n"/>
      <c r="E32" s="41" t="n"/>
      <c r="F32" s="41" t="n"/>
      <c r="G32" s="46" t="n"/>
      <c r="H32" s="46" t="n"/>
      <c r="I32" s="41" t="n"/>
      <c r="J32" s="46" t="n"/>
      <c r="K32" s="41" t="n"/>
      <c r="L32" s="41" t="n"/>
      <c r="M32" s="48" t="inlineStr">
        <is>
          <t>6</t>
        </is>
      </c>
      <c r="N32" s="41" t="n"/>
      <c r="O32" s="41" t="n"/>
      <c r="Q32">
        <f>LEFT(I32,9)</f>
        <v/>
      </c>
      <c r="R32">
        <f>TRIM(B32)</f>
        <v/>
      </c>
      <c r="S32">
        <f>COUNTIF($X$1:$X$9,R32) &gt; 0</f>
        <v/>
      </c>
      <c r="T32">
        <f>IF(AND(S32=FALSE,LEN(R32)&gt;2),4,IF(S32=TRUE,INDEX($Y$1:$Y$9,MATCH(R32,$X$1:$X$9,0)),""))</f>
        <v/>
      </c>
      <c r="U32">
        <f>IF(R32&lt;&gt;"",IF(Q37="",0,MATCH(TRUE,INDEX(Q37:$Q$1100="",0),0)-1),"")</f>
        <v/>
      </c>
      <c r="V32">
        <f>IF(AND(T32&lt;&gt;"",U32&lt;&gt;""),IF(U32-T32&lt;=0,"Falls Short",U32-T32),"")</f>
        <v/>
      </c>
      <c r="W32">
        <f>IF(AND(R32&lt;&gt;"",V32&lt;&gt;"Falls Short"),20*V32,"")</f>
        <v/>
      </c>
    </row>
    <row r="33" ht="15" customHeight="1" s="21">
      <c r="A33" s="43" t="inlineStr">
        <is>
          <t xml:space="preserve"> </t>
        </is>
      </c>
      <c r="B33" s="41" t="n"/>
      <c r="C33" s="41" t="n"/>
      <c r="D33" s="41" t="n"/>
      <c r="E33" s="41" t="n"/>
      <c r="F33" s="41" t="n"/>
      <c r="G33" s="41" t="n"/>
      <c r="H33" s="41" t="n"/>
      <c r="I33" s="41" t="n"/>
      <c r="J33" s="41" t="n"/>
      <c r="K33" s="41" t="n"/>
      <c r="L33" s="41" t="n"/>
      <c r="M33" s="41" t="n"/>
      <c r="N33" s="41" t="n"/>
      <c r="O33" s="41" t="n"/>
      <c r="Q33">
        <f>LEFT(I33,9)</f>
        <v/>
      </c>
      <c r="R33">
        <f>TRIM(B33)</f>
        <v/>
      </c>
      <c r="S33">
        <f>COUNTIF($X$1:$X$9,R33) &gt; 0</f>
        <v/>
      </c>
      <c r="T33">
        <f>IF(AND(S33=FALSE,LEN(R33)&gt;2),4,IF(S33=TRUE,INDEX($Y$1:$Y$9,MATCH(R33,$X$1:$X$9,0)),""))</f>
        <v/>
      </c>
      <c r="U33">
        <f>IF(R33&lt;&gt;"",IF(Q38="",0,MATCH(TRUE,INDEX(Q38:$Q$1100="",0),0)-1),"")</f>
        <v/>
      </c>
      <c r="V33">
        <f>IF(AND(T33&lt;&gt;"",U33&lt;&gt;""),IF(U33-T33&lt;=0,"Falls Short",U33-T33),"")</f>
        <v/>
      </c>
      <c r="W33">
        <f>IF(AND(R33&lt;&gt;"",V33&lt;&gt;"Falls Short"),20*V33,"")</f>
        <v/>
      </c>
    </row>
    <row r="34" ht="15" customHeight="1" s="21">
      <c r="A34" s="46" t="n"/>
      <c r="B34" s="41" t="n"/>
      <c r="C34" s="41" t="n"/>
      <c r="D34" s="41" t="n"/>
      <c r="E34" s="46" t="n"/>
      <c r="F34" s="41" t="n"/>
      <c r="G34" s="41" t="n"/>
      <c r="H34" s="48" t="inlineStr">
        <is>
          <t>12 / 2025</t>
        </is>
      </c>
      <c r="I34" s="41" t="n"/>
      <c r="J34" s="48" t="inlineStr">
        <is>
          <t>6</t>
        </is>
      </c>
      <c r="K34" s="46" t="n"/>
      <c r="L34" s="41" t="n"/>
      <c r="M34" s="41" t="n"/>
      <c r="N34" s="41" t="n"/>
      <c r="O34" s="41" t="n"/>
      <c r="Q34">
        <f>LEFT(I34,9)</f>
        <v/>
      </c>
      <c r="R34">
        <f>TRIM(B34)</f>
        <v/>
      </c>
      <c r="S34">
        <f>COUNTIF($X$1:$X$9,R34) &gt; 0</f>
        <v/>
      </c>
      <c r="T34">
        <f>IF(AND(S34=FALSE,LEN(R34)&gt;2),4,IF(S34=TRUE,INDEX($Y$1:$Y$9,MATCH(R34,$X$1:$X$9,0)),""))</f>
        <v/>
      </c>
      <c r="U34">
        <f>IF(R34&lt;&gt;"",IF(Q39="",0,MATCH(TRUE,INDEX(Q39:$Q$1100="",0),0)-1),"")</f>
        <v/>
      </c>
      <c r="V34">
        <f>IF(AND(T34&lt;&gt;"",U34&lt;&gt;""),IF(U34-T34&lt;=0,"Falls Short",U34-T34),"")</f>
        <v/>
      </c>
      <c r="W34">
        <f>IF(AND(R34&lt;&gt;"",V34&lt;&gt;"Falls Short"),20*V34,"")</f>
        <v/>
      </c>
    </row>
    <row r="35" ht="15" customHeight="1" s="21">
      <c r="A35" s="43" t="inlineStr">
        <is>
          <t xml:space="preserve"> </t>
        </is>
      </c>
      <c r="B35" s="41" t="n"/>
      <c r="C35" s="41" t="n"/>
      <c r="D35" s="41" t="n"/>
      <c r="E35" s="41" t="n"/>
      <c r="F35" s="41" t="n"/>
      <c r="G35" s="41" t="n"/>
      <c r="H35" s="41" t="n"/>
      <c r="I35" s="41" t="n"/>
      <c r="J35" s="41" t="n"/>
      <c r="K35" s="41" t="n"/>
      <c r="L35" s="41" t="n"/>
      <c r="M35" s="41" t="n"/>
      <c r="N35" s="41" t="n"/>
      <c r="O35" s="41" t="n"/>
      <c r="Q35">
        <f>LEFT(I35,9)</f>
        <v/>
      </c>
      <c r="R35">
        <f>TRIM(B35)</f>
        <v/>
      </c>
      <c r="S35">
        <f>COUNTIF($X$1:$X$9,R35) &gt; 0</f>
        <v/>
      </c>
      <c r="T35">
        <f>IF(AND(S35=FALSE,LEN(R35)&gt;2),4,IF(S35=TRUE,INDEX($Y$1:$Y$9,MATCH(R35,$X$1:$X$9,0)),""))</f>
        <v/>
      </c>
      <c r="U35">
        <f>IF(R35&lt;&gt;"",IF(Q40="",0,MATCH(TRUE,INDEX(Q40:$Q$1100="",0),0)-1),"")</f>
        <v/>
      </c>
      <c r="V35">
        <f>IF(AND(T35&lt;&gt;"",U35&lt;&gt;""),IF(U35-T35&lt;=0,"Falls Short",U35-T35),"")</f>
        <v/>
      </c>
      <c r="W35">
        <f>IF(AND(R35&lt;&gt;"",V35&lt;&gt;"Falls Short"),20*V35,"")</f>
        <v/>
      </c>
    </row>
    <row r="36" ht="15" customHeight="1" s="21">
      <c r="A36" s="48" t="inlineStr">
        <is>
          <t xml:space="preserve"> </t>
        </is>
      </c>
      <c r="B36" s="41" t="n"/>
      <c r="C36" s="41" t="n"/>
      <c r="D36" s="46" t="n"/>
      <c r="E36" s="41" t="n"/>
      <c r="F36" s="41" t="n"/>
      <c r="G36" s="41" t="n"/>
      <c r="H36" s="41" t="n"/>
      <c r="I36" s="48" t="inlineStr">
        <is>
          <t>09-DEC-25</t>
        </is>
      </c>
      <c r="J36" s="41" t="n"/>
      <c r="K36" s="48" t="inlineStr">
        <is>
          <t>Training E</t>
        </is>
      </c>
      <c r="L36" s="41" t="n"/>
      <c r="M36" s="48" t="inlineStr">
        <is>
          <t xml:space="preserve">CDI </t>
        </is>
      </c>
      <c r="N36" s="41" t="n"/>
      <c r="O36" s="41" t="n"/>
      <c r="Q36">
        <f>LEFT(I36,9)</f>
        <v/>
      </c>
      <c r="R36">
        <f>TRIM(B36)</f>
        <v/>
      </c>
      <c r="S36">
        <f>COUNTIF($X$1:$X$9,R36) &gt; 0</f>
        <v/>
      </c>
      <c r="T36">
        <f>IF(AND(S36=FALSE,LEN(R36)&gt;2),4,IF(S36=TRUE,INDEX($Y$1:$Y$9,MATCH(R36,$X$1:$X$9,0)),""))</f>
        <v/>
      </c>
      <c r="U36">
        <f>IF(R36&lt;&gt;"",IF(Q41="",0,MATCH(TRUE,INDEX(Q41:$Q$1100="",0),0)-1),"")</f>
        <v/>
      </c>
      <c r="V36">
        <f>IF(AND(T36&lt;&gt;"",U36&lt;&gt;""),IF(U36-T36&lt;=0,"Falls Short",U36-T36),"")</f>
        <v/>
      </c>
      <c r="W36">
        <f>IF(AND(R36&lt;&gt;"",V36&lt;&gt;"Falls Short"),20*V36,"")</f>
        <v/>
      </c>
    </row>
    <row r="37" ht="15" customHeight="1" s="21">
      <c r="A37" s="48" t="inlineStr">
        <is>
          <t xml:space="preserve"> </t>
        </is>
      </c>
      <c r="B37" s="41" t="n"/>
      <c r="C37" s="41" t="n"/>
      <c r="D37" s="46" t="n"/>
      <c r="E37" s="41" t="n"/>
      <c r="F37" s="41" t="n"/>
      <c r="G37" s="41" t="n"/>
      <c r="H37" s="41" t="n"/>
      <c r="I37" s="48" t="inlineStr">
        <is>
          <t>12-DEC-25</t>
        </is>
      </c>
      <c r="J37" s="41" t="n"/>
      <c r="K37" s="48" t="inlineStr">
        <is>
          <t>Training F</t>
        </is>
      </c>
      <c r="L37" s="41" t="n"/>
      <c r="M37" s="48" t="inlineStr">
        <is>
          <t xml:space="preserve">CDI </t>
        </is>
      </c>
      <c r="N37" s="41" t="n"/>
      <c r="O37" s="41" t="n"/>
      <c r="Q37">
        <f>LEFT(I37,9)</f>
        <v/>
      </c>
      <c r="R37">
        <f>TRIM(B37)</f>
        <v/>
      </c>
      <c r="S37">
        <f>COUNTIF($X$1:$X$9,R37) &gt; 0</f>
        <v/>
      </c>
      <c r="T37">
        <f>IF(AND(S37=FALSE,LEN(R37)&gt;2),4,IF(S37=TRUE,INDEX($Y$1:$Y$9,MATCH(R37,$X$1:$X$9,0)),""))</f>
        <v/>
      </c>
      <c r="U37">
        <f>IF(R37&lt;&gt;"",IF(Q42="",0,MATCH(TRUE,INDEX(Q42:$Q$1100="",0),0)-1),"")</f>
        <v/>
      </c>
      <c r="V37">
        <f>IF(AND(T37&lt;&gt;"",U37&lt;&gt;""),IF(U37-T37&lt;=0,"Falls Short",U37-T37),"")</f>
        <v/>
      </c>
      <c r="W37">
        <f>IF(AND(R37&lt;&gt;"",V37&lt;&gt;"Falls Short"),20*V37,"")</f>
        <v/>
      </c>
    </row>
    <row r="38" ht="15" customHeight="1" s="21">
      <c r="A38" s="48" t="inlineStr">
        <is>
          <t xml:space="preserve"> </t>
        </is>
      </c>
      <c r="B38" s="41" t="n"/>
      <c r="C38" s="41" t="n"/>
      <c r="D38" s="46" t="n"/>
      <c r="E38" s="41" t="n"/>
      <c r="F38" s="41" t="n"/>
      <c r="G38" s="41" t="n"/>
      <c r="H38" s="41" t="n"/>
      <c r="I38" s="48" t="inlineStr">
        <is>
          <t>13-DEC-25</t>
        </is>
      </c>
      <c r="J38" s="41" t="n"/>
      <c r="K38" s="48" t="inlineStr">
        <is>
          <t>Training C</t>
        </is>
      </c>
      <c r="L38" s="41" t="n"/>
      <c r="M38" s="48" t="inlineStr">
        <is>
          <t xml:space="preserve">CDI </t>
        </is>
      </c>
      <c r="N38" s="41" t="n"/>
      <c r="O38" s="41" t="n"/>
      <c r="Q38">
        <f>LEFT(I38,9)</f>
        <v/>
      </c>
      <c r="R38">
        <f>TRIM(B38)</f>
        <v/>
      </c>
      <c r="S38">
        <f>COUNTIF($X$1:$X$9,R38) &gt; 0</f>
        <v/>
      </c>
      <c r="T38">
        <f>IF(AND(S38=FALSE,LEN(R38)&gt;2),4,IF(S38=TRUE,INDEX($Y$1:$Y$9,MATCH(R38,$X$1:$X$9,0)),""))</f>
        <v/>
      </c>
      <c r="U38">
        <f>IF(R38&lt;&gt;"",IF(Q43="",0,MATCH(TRUE,INDEX(Q43:$Q$1100="",0),0)-1),"")</f>
        <v/>
      </c>
      <c r="V38">
        <f>IF(AND(T38&lt;&gt;"",U38&lt;&gt;""),IF(U38-T38&lt;=0,"Falls Short",U38-T38),"")</f>
        <v/>
      </c>
      <c r="W38">
        <f>IF(AND(R38&lt;&gt;"",V38&lt;&gt;"Falls Short"),20*V38,"")</f>
        <v/>
      </c>
    </row>
    <row r="39" ht="15" customHeight="1" s="21">
      <c r="A39" s="48" t="inlineStr">
        <is>
          <t xml:space="preserve"> </t>
        </is>
      </c>
      <c r="B39" s="41" t="n"/>
      <c r="C39" s="41" t="n"/>
      <c r="D39" s="46" t="n"/>
      <c r="E39" s="41" t="n"/>
      <c r="F39" s="41" t="n"/>
      <c r="G39" s="41" t="n"/>
      <c r="H39" s="41" t="n"/>
      <c r="I39" s="48" t="inlineStr">
        <is>
          <t>21-DEC-25</t>
        </is>
      </c>
      <c r="J39" s="41" t="n"/>
      <c r="K39" s="48" t="inlineStr">
        <is>
          <t>Training G</t>
        </is>
      </c>
      <c r="L39" s="41" t="n"/>
      <c r="M39" s="48" t="inlineStr">
        <is>
          <t xml:space="preserve">CDI </t>
        </is>
      </c>
      <c r="N39" s="41" t="n"/>
      <c r="O39" s="41" t="n"/>
      <c r="Q39">
        <f>LEFT(I39,9)</f>
        <v/>
      </c>
      <c r="R39">
        <f>TRIM(B39)</f>
        <v/>
      </c>
      <c r="S39">
        <f>COUNTIF($X$1:$X$9,R39) &gt; 0</f>
        <v/>
      </c>
      <c r="T39">
        <f>IF(AND(S39=FALSE,LEN(R39)&gt;2),4,IF(S39=TRUE,INDEX($Y$1:$Y$9,MATCH(R39,$X$1:$X$9,0)),""))</f>
        <v/>
      </c>
      <c r="U39">
        <f>IF(R39&lt;&gt;"",IF(Q44="",0,MATCH(TRUE,INDEX(Q44:$Q$1100="",0),0)-1),"")</f>
        <v/>
      </c>
      <c r="V39">
        <f>IF(AND(T39&lt;&gt;"",U39&lt;&gt;""),IF(U39-T39&lt;=0,"Falls Short",U39-T39),"")</f>
        <v/>
      </c>
      <c r="W39">
        <f>IF(AND(R39&lt;&gt;"",V39&lt;&gt;"Falls Short"),20*V39,"")</f>
        <v/>
      </c>
    </row>
    <row r="40" ht="15" customHeight="1" s="21">
      <c r="A40" s="48" t="inlineStr">
        <is>
          <t xml:space="preserve"> </t>
        </is>
      </c>
      <c r="B40" s="41" t="n"/>
      <c r="C40" s="41" t="n"/>
      <c r="D40" s="46" t="n"/>
      <c r="E40" s="41" t="n"/>
      <c r="F40" s="41" t="n"/>
      <c r="G40" s="41" t="n"/>
      <c r="H40" s="41" t="n"/>
      <c r="I40" s="48" t="inlineStr">
        <is>
          <t>24-DEC-25</t>
        </is>
      </c>
      <c r="J40" s="41" t="n"/>
      <c r="K40" s="48" t="inlineStr">
        <is>
          <t>Training F</t>
        </is>
      </c>
      <c r="L40" s="41" t="n"/>
      <c r="M40" s="48" t="inlineStr">
        <is>
          <t xml:space="preserve">CDI </t>
        </is>
      </c>
      <c r="N40" s="41" t="n"/>
      <c r="O40" s="41" t="n"/>
      <c r="Q40">
        <f>LEFT(I40,9)</f>
        <v/>
      </c>
      <c r="R40">
        <f>TRIM(B40)</f>
        <v/>
      </c>
      <c r="S40">
        <f>COUNTIF($X$1:$X$9,R40) &gt; 0</f>
        <v/>
      </c>
      <c r="T40">
        <f>IF(AND(S40=FALSE,LEN(R40)&gt;2),4,IF(S40=TRUE,INDEX($Y$1:$Y$9,MATCH(R40,$X$1:$X$9,0)),""))</f>
        <v/>
      </c>
      <c r="U40">
        <f>IF(R40&lt;&gt;"",IF(Q45="",0,MATCH(TRUE,INDEX(Q45:$Q$1100="",0),0)-1),"")</f>
        <v/>
      </c>
      <c r="V40">
        <f>IF(AND(T40&lt;&gt;"",U40&lt;&gt;""),IF(U40-T40&lt;=0,"Falls Short",U40-T40),"")</f>
        <v/>
      </c>
      <c r="W40">
        <f>IF(AND(R40&lt;&gt;"",V40&lt;&gt;"Falls Short"),20*V40,"")</f>
        <v/>
      </c>
    </row>
    <row r="41" ht="15" customHeight="1" s="21">
      <c r="A41" s="48" t="inlineStr">
        <is>
          <t xml:space="preserve"> </t>
        </is>
      </c>
      <c r="B41" s="41" t="n"/>
      <c r="C41" s="41" t="n"/>
      <c r="D41" s="46" t="n"/>
      <c r="E41" s="41" t="n"/>
      <c r="F41" s="41" t="n"/>
      <c r="G41" s="41" t="n"/>
      <c r="H41" s="41" t="n"/>
      <c r="I41" s="48" t="inlineStr">
        <is>
          <t>30-DEC-25</t>
        </is>
      </c>
      <c r="J41" s="41" t="n"/>
      <c r="K41" s="48" t="inlineStr">
        <is>
          <t>Training C</t>
        </is>
      </c>
      <c r="L41" s="41" t="n"/>
      <c r="M41" s="48" t="inlineStr">
        <is>
          <t xml:space="preserve">CDI </t>
        </is>
      </c>
      <c r="N41" s="41" t="n"/>
      <c r="O41" s="41" t="n"/>
      <c r="Q41">
        <f>LEFT(I41,9)</f>
        <v/>
      </c>
      <c r="R41">
        <f>TRIM(B41)</f>
        <v/>
      </c>
      <c r="S41">
        <f>COUNTIF($X$1:$X$9,R41) &gt; 0</f>
        <v/>
      </c>
      <c r="T41">
        <f>IF(AND(S41=FALSE,LEN(R41)&gt;2),4,IF(S41=TRUE,INDEX($Y$1:$Y$9,MATCH(R41,$X$1:$X$9,0)),""))</f>
        <v/>
      </c>
      <c r="U41">
        <f>IF(R41&lt;&gt;"",IF(Q46="",0,MATCH(TRUE,INDEX(Q46:$Q$1100="",0),0)-1),"")</f>
        <v/>
      </c>
      <c r="V41">
        <f>IF(AND(T41&lt;&gt;"",U41&lt;&gt;""),IF(U41-T41&lt;=0,"Falls Short",U41-T41),"")</f>
        <v/>
      </c>
      <c r="W41">
        <f>IF(AND(R41&lt;&gt;"",V41&lt;&gt;"Falls Short"),20*V41,"")</f>
        <v/>
      </c>
    </row>
    <row r="42" ht="15" customHeight="1" s="21">
      <c r="A42" s="49" t="inlineStr">
        <is>
          <t xml:space="preserve"> </t>
        </is>
      </c>
      <c r="B42" s="41" t="n"/>
      <c r="C42" s="41" t="n"/>
      <c r="D42" s="41" t="n"/>
      <c r="E42" s="41" t="n"/>
      <c r="F42" s="41" t="n"/>
      <c r="G42" s="41" t="n"/>
      <c r="H42" s="41" t="n"/>
      <c r="I42" s="41" t="n"/>
      <c r="J42" s="41" t="n"/>
      <c r="K42" s="41" t="n"/>
      <c r="L42" s="41" t="n"/>
      <c r="M42" s="41" t="n"/>
      <c r="N42" s="41" t="n"/>
      <c r="O42" s="41" t="n"/>
      <c r="Q42">
        <f>LEFT(I42,9)</f>
        <v/>
      </c>
      <c r="R42">
        <f>TRIM(B42)</f>
        <v/>
      </c>
      <c r="S42">
        <f>COUNTIF($X$1:$X$9,R42) &gt; 0</f>
        <v/>
      </c>
      <c r="T42">
        <f>IF(AND(S42=FALSE,LEN(R42)&gt;2),4,IF(S42=TRUE,INDEX($Y$1:$Y$9,MATCH(R42,$X$1:$X$9,0)),""))</f>
        <v/>
      </c>
      <c r="U42">
        <f>IF(R42&lt;&gt;"",IF(Q47="",0,MATCH(TRUE,INDEX(Q47:$Q$1100="",0),0)-1),"")</f>
        <v/>
      </c>
      <c r="V42">
        <f>IF(AND(T42&lt;&gt;"",U42&lt;&gt;""),IF(U42-T42&lt;=0,"Falls Short",U42-T42),"")</f>
        <v/>
      </c>
      <c r="W42">
        <f>IF(AND(R42&lt;&gt;"",V42&lt;&gt;"Falls Short"),20*V42,"")</f>
        <v/>
      </c>
    </row>
    <row r="43" ht="15" customHeight="1" s="21">
      <c r="A43" s="49" t="inlineStr">
        <is>
          <t xml:space="preserve"> </t>
        </is>
      </c>
      <c r="B43" s="41" t="n"/>
      <c r="C43" s="41" t="n"/>
      <c r="D43" s="41" t="n"/>
      <c r="E43" s="41" t="n"/>
      <c r="F43" s="41" t="n"/>
      <c r="G43" s="41" t="n"/>
      <c r="H43" s="41" t="n"/>
      <c r="I43" s="41" t="n"/>
      <c r="J43" s="41" t="n"/>
      <c r="K43" s="41" t="n"/>
      <c r="L43" s="41" t="n"/>
      <c r="M43" s="41" t="n"/>
      <c r="N43" s="41" t="n"/>
      <c r="O43" s="41" t="n"/>
      <c r="Q43">
        <f>LEFT(I43,9)</f>
        <v/>
      </c>
      <c r="R43">
        <f>TRIM(B43)</f>
        <v/>
      </c>
      <c r="S43">
        <f>COUNTIF($X$1:$X$9,R43) &gt; 0</f>
        <v/>
      </c>
      <c r="T43">
        <f>IF(AND(S43=FALSE,LEN(R43)&gt;2),4,IF(S43=TRUE,INDEX($Y$1:$Y$9,MATCH(R43,$X$1:$X$9,0)),""))</f>
        <v/>
      </c>
      <c r="U43">
        <f>IF(R43&lt;&gt;"",IF(Q48="",0,MATCH(TRUE,INDEX(Q48:$Q$1100="",0),0)-1),"")</f>
        <v/>
      </c>
      <c r="V43">
        <f>IF(AND(T43&lt;&gt;"",U43&lt;&gt;""),IF(U43-T43&lt;=0,"Falls Short",U43-T43),"")</f>
        <v/>
      </c>
      <c r="W43">
        <f>IF(AND(R43&lt;&gt;"",V43&lt;&gt;"Falls Short"),20*V43,"")</f>
        <v/>
      </c>
    </row>
    <row r="44" ht="15" customHeight="1" s="21">
      <c r="A44" s="43" t="inlineStr">
        <is>
          <t xml:space="preserve"> </t>
        </is>
      </c>
      <c r="B44" s="41" t="n"/>
      <c r="C44" s="41" t="n"/>
      <c r="D44" s="41" t="n"/>
      <c r="E44" s="41" t="n"/>
      <c r="F44" s="41" t="n"/>
      <c r="G44" s="41" t="n"/>
      <c r="H44" s="41" t="n"/>
      <c r="I44" s="41" t="n"/>
      <c r="J44" s="41" t="n"/>
      <c r="K44" s="41" t="n"/>
      <c r="L44" s="41" t="n"/>
      <c r="M44" s="41" t="n"/>
      <c r="N44" s="41" t="n"/>
      <c r="O44" s="41" t="n"/>
      <c r="Q44">
        <f>LEFT(I44,9)</f>
        <v/>
      </c>
      <c r="R44">
        <f>TRIM(B44)</f>
        <v/>
      </c>
      <c r="S44">
        <f>COUNTIF($X$1:$X$9,R44) &gt; 0</f>
        <v/>
      </c>
      <c r="T44">
        <f>IF(AND(S44=FALSE,LEN(R44)&gt;2),4,IF(S44=TRUE,INDEX($Y$1:$Y$9,MATCH(R44,$X$1:$X$9,0)),""))</f>
        <v/>
      </c>
      <c r="U44">
        <f>IF(R44&lt;&gt;"",IF(Q49="",0,MATCH(TRUE,INDEX(Q49:$Q$1100="",0),0)-1),"")</f>
        <v/>
      </c>
      <c r="V44">
        <f>IF(AND(T44&lt;&gt;"",U44&lt;&gt;""),IF(U44-T44&lt;=0,"Falls Short",U44-T44),"")</f>
        <v/>
      </c>
      <c r="W44">
        <f>IF(AND(R44&lt;&gt;"",V44&lt;&gt;"Falls Short"),20*V44,"")</f>
        <v/>
      </c>
    </row>
    <row r="45" ht="15" customHeight="1" s="21">
      <c r="A45" s="44" t="n"/>
      <c r="B45" s="44" t="n"/>
      <c r="C45" s="44" t="n"/>
      <c r="D45" s="41" t="n"/>
      <c r="E45" s="41" t="n"/>
      <c r="F45" s="41" t="n"/>
      <c r="G45" s="44" t="n"/>
      <c r="H45" s="45" t="inlineStr">
        <is>
          <t>Month</t>
        </is>
      </c>
      <c r="I45" s="41" t="n"/>
      <c r="J45" s="45" t="inlineStr">
        <is>
          <t>Days</t>
        </is>
      </c>
      <c r="K45" s="41" t="n"/>
      <c r="L45" s="41" t="n"/>
      <c r="M45" s="45" t="inlineStr">
        <is>
          <t>Total</t>
        </is>
      </c>
      <c r="N45" s="41" t="n"/>
      <c r="O45" s="41" t="n"/>
      <c r="Q45">
        <f>LEFT(I45,9)</f>
        <v/>
      </c>
      <c r="R45">
        <f>TRIM(B45)</f>
        <v/>
      </c>
      <c r="S45">
        <f>COUNTIF($X$1:$X$9,R45) &gt; 0</f>
        <v/>
      </c>
      <c r="T45">
        <f>IF(AND(S45=FALSE,LEN(R45)&gt;2),4,IF(S45=TRUE,INDEX($Y$1:$Y$9,MATCH(R45,$X$1:$X$9,0)),""))</f>
        <v/>
      </c>
      <c r="U45">
        <f>IF(R45&lt;&gt;"",IF(Q50="",0,MATCH(TRUE,INDEX(Q50:$Q$1100="",0),0)-1),"")</f>
        <v/>
      </c>
      <c r="V45">
        <f>IF(AND(T45&lt;&gt;"",U45&lt;&gt;""),IF(U45-T45&lt;=0,"Falls Short",U45-T45),"")</f>
        <v/>
      </c>
      <c r="W45">
        <f>IF(AND(R45&lt;&gt;"",V45&lt;&gt;"Falls Short"),20*V45,"")</f>
        <v/>
      </c>
    </row>
    <row r="46" ht="21.8" customHeight="1" s="21">
      <c r="A46" s="46" t="inlineStr">
        <is>
          <t>Job Role X</t>
        </is>
      </c>
      <c r="B46" s="42" t="inlineStr">
        <is>
          <t>OOZ</t>
        </is>
      </c>
      <c r="C46" s="42" t="inlineStr">
        <is>
          <t xml:space="preserve">   OMICRON FIFTEEN</t>
        </is>
      </c>
      <c r="D46" s="41" t="n"/>
      <c r="E46" s="41" t="n"/>
      <c r="F46" s="41" t="n"/>
      <c r="G46" s="42" t="inlineStr">
        <is>
          <t xml:space="preserve">10023       </t>
        </is>
      </c>
      <c r="H46" s="47" t="n"/>
      <c r="I46" s="41" t="n"/>
      <c r="J46" s="47" t="n"/>
      <c r="K46" s="41" t="n"/>
      <c r="L46" s="41" t="n"/>
      <c r="M46" s="47" t="n"/>
      <c r="N46" s="41" t="n"/>
      <c r="O46" s="41" t="n"/>
      <c r="Q46">
        <f>LEFT(I46,9)</f>
        <v/>
      </c>
      <c r="R46">
        <f>TRIM(B46)</f>
        <v/>
      </c>
      <c r="S46">
        <f>COUNTIF($X$1:$X$9,R46) &gt; 0</f>
        <v/>
      </c>
      <c r="T46">
        <f>IF(AND(S46=FALSE,LEN(R46)&gt;2),4,IF(S46=TRUE,INDEX($Y$1:$Y$9,MATCH(R46,$X$1:$X$9,0)),""))</f>
        <v/>
      </c>
      <c r="U46">
        <f>IF(R46&lt;&gt;"",IF(Q51="",0,MATCH(TRUE,INDEX(Q51:$Q$1100="",0),0)-1),"")</f>
        <v/>
      </c>
      <c r="V46">
        <f>IF(AND(T46&lt;&gt;"",U46&lt;&gt;""),IF(U46-T46&lt;=0,"Falls Short",U46-T46),"")</f>
        <v/>
      </c>
      <c r="W46">
        <f>IF(AND(R46&lt;&gt;"",V46&lt;&gt;"Falls Short"),20*V46,"")</f>
        <v/>
      </c>
    </row>
    <row r="47" ht="15" customHeight="1" s="21">
      <c r="A47" s="42" t="n"/>
      <c r="B47" s="46" t="n"/>
      <c r="C47" s="46" t="n"/>
      <c r="D47" s="41" t="n"/>
      <c r="E47" s="41" t="n"/>
      <c r="F47" s="41" t="n"/>
      <c r="G47" s="46" t="n"/>
      <c r="H47" s="46" t="n"/>
      <c r="I47" s="41" t="n"/>
      <c r="J47" s="46" t="n"/>
      <c r="K47" s="41" t="n"/>
      <c r="L47" s="41" t="n"/>
      <c r="M47" s="48" t="inlineStr">
        <is>
          <t>9</t>
        </is>
      </c>
      <c r="N47" s="41" t="n"/>
      <c r="O47" s="41" t="n"/>
      <c r="Q47">
        <f>LEFT(I47,9)</f>
        <v/>
      </c>
      <c r="R47">
        <f>TRIM(B47)</f>
        <v/>
      </c>
      <c r="S47">
        <f>COUNTIF($X$1:$X$9,R47) &gt; 0</f>
        <v/>
      </c>
      <c r="T47">
        <f>IF(AND(S47=FALSE,LEN(R47)&gt;2),4,IF(S47=TRUE,INDEX($Y$1:$Y$9,MATCH(R47,$X$1:$X$9,0)),""))</f>
        <v/>
      </c>
      <c r="U47">
        <f>IF(R47&lt;&gt;"",IF(Q52="",0,MATCH(TRUE,INDEX(Q52:$Q$1100="",0),0)-1),"")</f>
        <v/>
      </c>
      <c r="V47">
        <f>IF(AND(T47&lt;&gt;"",U47&lt;&gt;""),IF(U47-T47&lt;=0,"Falls Short",U47-T47),"")</f>
        <v/>
      </c>
      <c r="W47">
        <f>IF(AND(R47&lt;&gt;"",V47&lt;&gt;"Falls Short"),20*V47,"")</f>
        <v/>
      </c>
    </row>
    <row r="48" ht="15" customHeight="1" s="21">
      <c r="A48" s="43" t="inlineStr">
        <is>
          <t xml:space="preserve"> </t>
        </is>
      </c>
      <c r="B48" s="41" t="n"/>
      <c r="C48" s="41" t="n"/>
      <c r="D48" s="41" t="n"/>
      <c r="E48" s="41" t="n"/>
      <c r="F48" s="41" t="n"/>
      <c r="G48" s="41" t="n"/>
      <c r="H48" s="41" t="n"/>
      <c r="I48" s="41" t="n"/>
      <c r="J48" s="41" t="n"/>
      <c r="K48" s="41" t="n"/>
      <c r="L48" s="41" t="n"/>
      <c r="M48" s="41" t="n"/>
      <c r="N48" s="41" t="n"/>
      <c r="O48" s="41" t="n"/>
      <c r="Q48">
        <f>LEFT(I48,9)</f>
        <v/>
      </c>
      <c r="R48">
        <f>TRIM(B48)</f>
        <v/>
      </c>
      <c r="S48">
        <f>COUNTIF($X$1:$X$9,R48) &gt; 0</f>
        <v/>
      </c>
      <c r="T48">
        <f>IF(AND(S48=FALSE,LEN(R48)&gt;2),4,IF(S48=TRUE,INDEX($Y$1:$Y$9,MATCH(R48,$X$1:$X$9,0)),""))</f>
        <v/>
      </c>
      <c r="U48">
        <f>IF(R48&lt;&gt;"",IF(Q53="",0,MATCH(TRUE,INDEX(Q53:$Q$1100="",0),0)-1),"")</f>
        <v/>
      </c>
      <c r="V48">
        <f>IF(AND(T48&lt;&gt;"",U48&lt;&gt;""),IF(U48-T48&lt;=0,"Falls Short",U48-T48),"")</f>
        <v/>
      </c>
      <c r="W48">
        <f>IF(AND(R48&lt;&gt;"",V48&lt;&gt;"Falls Short"),20*V48,"")</f>
        <v/>
      </c>
    </row>
    <row r="49" ht="15" customHeight="1" s="21">
      <c r="A49" s="46" t="n"/>
      <c r="B49" s="41" t="n"/>
      <c r="C49" s="41" t="n"/>
      <c r="D49" s="41" t="n"/>
      <c r="E49" s="46" t="n"/>
      <c r="F49" s="41" t="n"/>
      <c r="G49" s="41" t="n"/>
      <c r="H49" s="48" t="inlineStr">
        <is>
          <t>12 / 2025</t>
        </is>
      </c>
      <c r="I49" s="41" t="n"/>
      <c r="J49" s="48" t="inlineStr">
        <is>
          <t>9</t>
        </is>
      </c>
      <c r="K49" s="46" t="n"/>
      <c r="L49" s="41" t="n"/>
      <c r="M49" s="41" t="n"/>
      <c r="N49" s="41" t="n"/>
      <c r="O49" s="41" t="n"/>
      <c r="Q49">
        <f>LEFT(I49,9)</f>
        <v/>
      </c>
      <c r="R49">
        <f>TRIM(B49)</f>
        <v/>
      </c>
      <c r="S49">
        <f>COUNTIF($X$1:$X$9,R49) &gt; 0</f>
        <v/>
      </c>
      <c r="T49">
        <f>IF(AND(S49=FALSE,LEN(R49)&gt;2),4,IF(S49=TRUE,INDEX($Y$1:$Y$9,MATCH(R49,$X$1:$X$9,0)),""))</f>
        <v/>
      </c>
      <c r="U49">
        <f>IF(R49&lt;&gt;"",IF(Q54="",0,MATCH(TRUE,INDEX(Q54:$Q$1100="",0),0)-1),"")</f>
        <v/>
      </c>
      <c r="V49">
        <f>IF(AND(T49&lt;&gt;"",U49&lt;&gt;""),IF(U49-T49&lt;=0,"Falls Short",U49-T49),"")</f>
        <v/>
      </c>
      <c r="W49">
        <f>IF(AND(R49&lt;&gt;"",V49&lt;&gt;"Falls Short"),20*V49,"")</f>
        <v/>
      </c>
    </row>
    <row r="50" ht="15" customHeight="1" s="21">
      <c r="A50" s="43" t="inlineStr">
        <is>
          <t xml:space="preserve"> </t>
        </is>
      </c>
      <c r="B50" s="41" t="n"/>
      <c r="C50" s="41" t="n"/>
      <c r="D50" s="41" t="n"/>
      <c r="E50" s="41" t="n"/>
      <c r="F50" s="41" t="n"/>
      <c r="G50" s="41" t="n"/>
      <c r="H50" s="41" t="n"/>
      <c r="I50" s="41" t="n"/>
      <c r="J50" s="41" t="n"/>
      <c r="K50" s="41" t="n"/>
      <c r="L50" s="41" t="n"/>
      <c r="M50" s="41" t="n"/>
      <c r="N50" s="41" t="n"/>
      <c r="O50" s="41" t="n"/>
      <c r="Q50">
        <f>LEFT(I50,9)</f>
        <v/>
      </c>
      <c r="R50">
        <f>TRIM(B50)</f>
        <v/>
      </c>
      <c r="S50">
        <f>COUNTIF($X$1:$X$9,R50) &gt; 0</f>
        <v/>
      </c>
      <c r="T50">
        <f>IF(AND(S50=FALSE,LEN(R50)&gt;2),4,IF(S50=TRUE,INDEX($Y$1:$Y$9,MATCH(R50,$X$1:$X$9,0)),""))</f>
        <v/>
      </c>
      <c r="U50">
        <f>IF(R50&lt;&gt;"",IF(Q55="",0,MATCH(TRUE,INDEX(Q55:$Q$1100="",0),0)-1),"")</f>
        <v/>
      </c>
      <c r="V50">
        <f>IF(AND(T50&lt;&gt;"",U50&lt;&gt;""),IF(U50-T50&lt;=0,"Falls Short",U50-T50),"")</f>
        <v/>
      </c>
      <c r="W50">
        <f>IF(AND(R50&lt;&gt;"",V50&lt;&gt;"Falls Short"),20*V50,"")</f>
        <v/>
      </c>
    </row>
    <row r="51" ht="15" customHeight="1" s="21">
      <c r="I51" t="inlineStr">
        <is>
          <t>08-DEC-25</t>
        </is>
      </c>
      <c r="K51" t="inlineStr">
        <is>
          <t>Training A</t>
        </is>
      </c>
      <c r="M51" t="inlineStr">
        <is>
          <t xml:space="preserve">CDI </t>
        </is>
      </c>
      <c r="Q51">
        <f>LEFT(I51,9)</f>
        <v/>
      </c>
      <c r="R51">
        <f>TRIM(B51)</f>
        <v/>
      </c>
      <c r="S51">
        <f>COUNTIF($X$1:$X$9,R51) &gt; 0</f>
        <v/>
      </c>
      <c r="T51">
        <f>IF(AND(S51=FALSE,LEN(R51)&gt;2),4,IF(S51=TRUE,INDEX($Y$1:$Y$9,MATCH(R51,$X$1:$X$9,0)),""))</f>
        <v/>
      </c>
      <c r="U51">
        <f>IF(R51&lt;&gt;"",IF(Q56="",0,MATCH(TRUE,INDEX(Q56:$Q$1100="",0),0)-1),"")</f>
        <v/>
      </c>
      <c r="V51">
        <f>IF(AND(T51&lt;&gt;"",U51&lt;&gt;""),IF(U51-T51&lt;=0,"Falls Short",U51-T51),"")</f>
        <v/>
      </c>
      <c r="W51">
        <f>IF(AND(R51&lt;&gt;"",V51&lt;&gt;"Falls Short"),20*V51,"")</f>
        <v/>
      </c>
    </row>
    <row r="52" ht="15" customHeight="1" s="21">
      <c r="I52" t="inlineStr">
        <is>
          <t>09-DEC-25</t>
        </is>
      </c>
      <c r="K52" t="inlineStr">
        <is>
          <t>Training A</t>
        </is>
      </c>
      <c r="M52" t="inlineStr">
        <is>
          <t xml:space="preserve">CDI </t>
        </is>
      </c>
      <c r="Q52">
        <f>LEFT(I52,9)</f>
        <v/>
      </c>
      <c r="R52">
        <f>TRIM(B52)</f>
        <v/>
      </c>
      <c r="S52">
        <f>COUNTIF($X$1:$X$9,R52) &gt; 0</f>
        <v/>
      </c>
      <c r="T52">
        <f>IF(AND(S52=FALSE,LEN(R52)&gt;2),4,IF(S52=TRUE,INDEX($Y$1:$Y$9,MATCH(R52,$X$1:$X$9,0)),""))</f>
        <v/>
      </c>
      <c r="U52">
        <f>IF(R52&lt;&gt;"",IF(Q57="",0,MATCH(TRUE,INDEX(Q57:$Q$1100="",0),0)-1),"")</f>
        <v/>
      </c>
      <c r="V52">
        <f>IF(AND(T52&lt;&gt;"",U52&lt;&gt;""),IF(U52-T52&lt;=0,"Falls Short",U52-T52),"")</f>
        <v/>
      </c>
      <c r="W52">
        <f>IF(AND(R52&lt;&gt;"",V52&lt;&gt;"Falls Short"),20*V52,"")</f>
        <v/>
      </c>
    </row>
    <row r="53" ht="15" customHeight="1" s="21">
      <c r="A53" s="48" t="inlineStr">
        <is>
          <t xml:space="preserve"> </t>
        </is>
      </c>
      <c r="B53" s="41" t="n"/>
      <c r="C53" s="41" t="n"/>
      <c r="D53" s="46" t="n"/>
      <c r="E53" s="41" t="n"/>
      <c r="F53" s="41" t="n"/>
      <c r="G53" s="41" t="n"/>
      <c r="H53" s="41" t="n"/>
      <c r="I53" s="48" t="inlineStr">
        <is>
          <t>01-DEC-25</t>
        </is>
      </c>
      <c r="J53" s="41" t="n"/>
      <c r="K53" s="48" t="inlineStr">
        <is>
          <t>Training C</t>
        </is>
      </c>
      <c r="L53" s="41" t="n"/>
      <c r="M53" s="48" t="inlineStr">
        <is>
          <t xml:space="preserve">CDI </t>
        </is>
      </c>
      <c r="N53" s="41" t="n"/>
      <c r="O53" s="41" t="n"/>
      <c r="Q53">
        <f>LEFT(I53,9)</f>
        <v/>
      </c>
      <c r="R53">
        <f>TRIM(B53)</f>
        <v/>
      </c>
      <c r="S53">
        <f>COUNTIF($X$1:$X$9,R53) &gt; 0</f>
        <v/>
      </c>
      <c r="T53">
        <f>IF(AND(S53=FALSE,LEN(R53)&gt;2),4,IF(S53=TRUE,INDEX($Y$1:$Y$9,MATCH(R53,$X$1:$X$9,0)),""))</f>
        <v/>
      </c>
      <c r="U53">
        <f>IF(R53&lt;&gt;"",IF(Q58="",0,MATCH(TRUE,INDEX(Q58:$Q$1100="",0),0)-1),"")</f>
        <v/>
      </c>
      <c r="V53">
        <f>IF(AND(T53&lt;&gt;"",U53&lt;&gt;""),IF(U53-T53&lt;=0,"Falls Short",U53-T53),"")</f>
        <v/>
      </c>
      <c r="W53">
        <f>IF(AND(R53&lt;&gt;"",V53&lt;&gt;"Falls Short"),20*V53,"")</f>
        <v/>
      </c>
    </row>
    <row r="54" ht="15" customHeight="1" s="21">
      <c r="A54" s="48" t="inlineStr">
        <is>
          <t xml:space="preserve"> </t>
        </is>
      </c>
      <c r="B54" s="41" t="n"/>
      <c r="C54" s="41" t="n"/>
      <c r="D54" s="46" t="n"/>
      <c r="E54" s="41" t="n"/>
      <c r="F54" s="41" t="n"/>
      <c r="G54" s="41" t="n"/>
      <c r="H54" s="41" t="n"/>
      <c r="I54" s="48" t="inlineStr">
        <is>
          <t>03-DEC-25</t>
        </is>
      </c>
      <c r="J54" s="41" t="n"/>
      <c r="K54" s="48" t="inlineStr">
        <is>
          <t>Training C</t>
        </is>
      </c>
      <c r="L54" s="41" t="n"/>
      <c r="M54" s="48" t="inlineStr">
        <is>
          <t xml:space="preserve">CDI </t>
        </is>
      </c>
      <c r="N54" s="41" t="n"/>
      <c r="O54" s="41" t="n"/>
      <c r="Q54">
        <f>LEFT(I54,9)</f>
        <v/>
      </c>
      <c r="R54">
        <f>TRIM(B54)</f>
        <v/>
      </c>
      <c r="S54">
        <f>COUNTIF($X$1:$X$9,R54) &gt; 0</f>
        <v/>
      </c>
      <c r="T54">
        <f>IF(AND(S54=FALSE,LEN(R54)&gt;2),4,IF(S54=TRUE,INDEX($Y$1:$Y$9,MATCH(R54,$X$1:$X$9,0)),""))</f>
        <v/>
      </c>
      <c r="U54">
        <f>IF(R54&lt;&gt;"",IF(Q59="",0,MATCH(TRUE,INDEX(Q59:$Q$1100="",0),0)-1),"")</f>
        <v/>
      </c>
      <c r="V54">
        <f>IF(AND(T54&lt;&gt;"",U54&lt;&gt;""),IF(U54-T54&lt;=0,"Falls Short",U54-T54),"")</f>
        <v/>
      </c>
      <c r="W54">
        <f>IF(AND(R54&lt;&gt;"",V54&lt;&gt;"Falls Short"),20*V54,"")</f>
        <v/>
      </c>
    </row>
    <row r="55" ht="15" customHeight="1" s="21">
      <c r="A55" s="48" t="inlineStr">
        <is>
          <t xml:space="preserve"> </t>
        </is>
      </c>
      <c r="B55" s="41" t="n"/>
      <c r="C55" s="41" t="n"/>
      <c r="D55" s="46" t="n"/>
      <c r="E55" s="41" t="n"/>
      <c r="F55" s="41" t="n"/>
      <c r="G55" s="41" t="n"/>
      <c r="H55" s="41" t="n"/>
      <c r="I55" s="48" t="inlineStr">
        <is>
          <t>04-DEC-25</t>
        </is>
      </c>
      <c r="J55" s="41" t="n"/>
      <c r="K55" s="48" t="inlineStr">
        <is>
          <t>Training C</t>
        </is>
      </c>
      <c r="L55" s="41" t="n"/>
      <c r="M55" s="48" t="inlineStr">
        <is>
          <t xml:space="preserve">CDI </t>
        </is>
      </c>
      <c r="N55" s="41" t="n"/>
      <c r="O55" s="41" t="n"/>
      <c r="Q55">
        <f>LEFT(I55,9)</f>
        <v/>
      </c>
      <c r="R55">
        <f>TRIM(B55)</f>
        <v/>
      </c>
      <c r="S55">
        <f>COUNTIF($X$1:$X$9,R55) &gt; 0</f>
        <v/>
      </c>
      <c r="T55">
        <f>IF(AND(S55=FALSE,LEN(R55)&gt;2),4,IF(S55=TRUE,INDEX($Y$1:$Y$9,MATCH(R55,$X$1:$X$9,0)),""))</f>
        <v/>
      </c>
      <c r="U55">
        <f>IF(R55&lt;&gt;"",IF(Q60="",0,MATCH(TRUE,INDEX(Q60:$Q$1100="",0),0)-1),"")</f>
        <v/>
      </c>
      <c r="V55">
        <f>IF(AND(T55&lt;&gt;"",U55&lt;&gt;""),IF(U55-T55&lt;=0,"Falls Short",U55-T55),"")</f>
        <v/>
      </c>
      <c r="W55">
        <f>IF(AND(R55&lt;&gt;"",V55&lt;&gt;"Falls Short"),20*V55,"")</f>
        <v/>
      </c>
    </row>
    <row r="56" ht="15" customHeight="1" s="21">
      <c r="A56" s="48" t="inlineStr">
        <is>
          <t xml:space="preserve"> </t>
        </is>
      </c>
      <c r="B56" s="41" t="n"/>
      <c r="C56" s="41" t="n"/>
      <c r="D56" s="46" t="n"/>
      <c r="E56" s="41" t="n"/>
      <c r="F56" s="41" t="n"/>
      <c r="G56" s="41" t="n"/>
      <c r="H56" s="41" t="n"/>
      <c r="I56" s="48" t="inlineStr">
        <is>
          <t>05-DEC-25</t>
        </is>
      </c>
      <c r="J56" s="41" t="n"/>
      <c r="K56" s="48" t="inlineStr">
        <is>
          <t>Training C</t>
        </is>
      </c>
      <c r="L56" s="41" t="n"/>
      <c r="M56" s="48" t="inlineStr">
        <is>
          <t xml:space="preserve">CDI </t>
        </is>
      </c>
      <c r="N56" s="41" t="n"/>
      <c r="O56" s="41" t="n"/>
      <c r="Q56">
        <f>LEFT(I56,9)</f>
        <v/>
      </c>
      <c r="R56">
        <f>TRIM(B56)</f>
        <v/>
      </c>
      <c r="S56">
        <f>COUNTIF($X$1:$X$9,R56) &gt; 0</f>
        <v/>
      </c>
      <c r="T56">
        <f>IF(AND(S56=FALSE,LEN(R56)&gt;2),4,IF(S56=TRUE,INDEX($Y$1:$Y$9,MATCH(R56,$X$1:$X$9,0)),""))</f>
        <v/>
      </c>
      <c r="U56">
        <f>IF(R56&lt;&gt;"",IF(Q61="",0,MATCH(TRUE,INDEX(Q61:$Q$1100="",0),0)-1),"")</f>
        <v/>
      </c>
      <c r="V56">
        <f>IF(AND(T56&lt;&gt;"",U56&lt;&gt;""),IF(U56-T56&lt;=0,"Falls Short",U56-T56),"")</f>
        <v/>
      </c>
      <c r="W56">
        <f>IF(AND(R56&lt;&gt;"",V56&lt;&gt;"Falls Short"),20*V56,"")</f>
        <v/>
      </c>
    </row>
    <row r="57" ht="15" customHeight="1" s="21">
      <c r="A57" s="48" t="inlineStr">
        <is>
          <t xml:space="preserve"> </t>
        </is>
      </c>
      <c r="B57" s="41" t="n"/>
      <c r="C57" s="41" t="n"/>
      <c r="D57" s="46" t="n"/>
      <c r="E57" s="41" t="n"/>
      <c r="F57" s="41" t="n"/>
      <c r="G57" s="41" t="n"/>
      <c r="H57" s="41" t="n"/>
      <c r="I57" s="48" t="inlineStr">
        <is>
          <t>17-DEC-25</t>
        </is>
      </c>
      <c r="J57" s="41" t="n"/>
      <c r="K57" s="48" t="inlineStr">
        <is>
          <t>Training F</t>
        </is>
      </c>
      <c r="L57" s="41" t="n"/>
      <c r="M57" s="48" t="inlineStr">
        <is>
          <t xml:space="preserve">CDI </t>
        </is>
      </c>
      <c r="N57" s="41" t="n"/>
      <c r="O57" s="41" t="n"/>
      <c r="Q57">
        <f>LEFT(I57,9)</f>
        <v/>
      </c>
      <c r="R57">
        <f>TRIM(B57)</f>
        <v/>
      </c>
      <c r="S57">
        <f>COUNTIF($X$1:$X$9,R57) &gt; 0</f>
        <v/>
      </c>
      <c r="T57">
        <f>IF(AND(S57=FALSE,LEN(R57)&gt;2),4,IF(S57=TRUE,INDEX($Y$1:$Y$9,MATCH(R57,$X$1:$X$9,0)),""))</f>
        <v/>
      </c>
      <c r="U57">
        <f>IF(R57&lt;&gt;"",IF(Q62="",0,MATCH(TRUE,INDEX(Q62:$Q$1100="",0),0)-1),"")</f>
        <v/>
      </c>
      <c r="V57">
        <f>IF(AND(T57&lt;&gt;"",U57&lt;&gt;""),IF(U57-T57&lt;=0,"Falls Short",U57-T57),"")</f>
        <v/>
      </c>
      <c r="W57">
        <f>IF(AND(R57&lt;&gt;"",V57&lt;&gt;"Falls Short"),20*V57,"")</f>
        <v/>
      </c>
    </row>
    <row r="58" ht="15" customHeight="1" s="21">
      <c r="A58" s="48" t="inlineStr">
        <is>
          <t xml:space="preserve"> </t>
        </is>
      </c>
      <c r="B58" s="41" t="n"/>
      <c r="C58" s="41" t="n"/>
      <c r="D58" s="46" t="n"/>
      <c r="E58" s="41" t="n"/>
      <c r="F58" s="41" t="n"/>
      <c r="G58" s="41" t="n"/>
      <c r="H58" s="41" t="n"/>
      <c r="I58" s="48" t="inlineStr">
        <is>
          <t>22-DEC-25</t>
        </is>
      </c>
      <c r="J58" s="41" t="n"/>
      <c r="K58" s="48" t="inlineStr">
        <is>
          <t>Training C</t>
        </is>
      </c>
      <c r="L58" s="41" t="n"/>
      <c r="M58" s="48" t="inlineStr">
        <is>
          <t xml:space="preserve">CDI </t>
        </is>
      </c>
      <c r="N58" s="41" t="n"/>
      <c r="O58" s="41" t="n"/>
      <c r="Q58">
        <f>LEFT(I58,9)</f>
        <v/>
      </c>
      <c r="R58">
        <f>TRIM(B58)</f>
        <v/>
      </c>
      <c r="S58">
        <f>COUNTIF($X$1:$X$9,R58) &gt; 0</f>
        <v/>
      </c>
      <c r="T58">
        <f>IF(AND(S58=FALSE,LEN(R58)&gt;2),4,IF(S58=TRUE,INDEX($Y$1:$Y$9,MATCH(R58,$X$1:$X$9,0)),""))</f>
        <v/>
      </c>
      <c r="U58">
        <f>IF(R58&lt;&gt;"",IF(Q63="",0,MATCH(TRUE,INDEX(Q63:$Q$1100="",0),0)-1),"")</f>
        <v/>
      </c>
      <c r="V58">
        <f>IF(AND(T58&lt;&gt;"",U58&lt;&gt;""),IF(U58-T58&lt;=0,"Falls Short",U58-T58),"")</f>
        <v/>
      </c>
      <c r="W58">
        <f>IF(AND(R58&lt;&gt;"",V58&lt;&gt;"Falls Short"),20*V58,"")</f>
        <v/>
      </c>
    </row>
    <row r="59" ht="15" customHeight="1" s="21">
      <c r="A59" s="48" t="inlineStr">
        <is>
          <t xml:space="preserve"> </t>
        </is>
      </c>
      <c r="B59" s="41" t="n"/>
      <c r="C59" s="41" t="n"/>
      <c r="D59" s="46" t="n"/>
      <c r="E59" s="41" t="n"/>
      <c r="F59" s="41" t="n"/>
      <c r="G59" s="41" t="n"/>
      <c r="H59" s="41" t="n"/>
      <c r="I59" s="48" t="inlineStr">
        <is>
          <t>23-DEC-25</t>
        </is>
      </c>
      <c r="J59" s="41" t="n"/>
      <c r="K59" s="48" t="inlineStr">
        <is>
          <t>Training C</t>
        </is>
      </c>
      <c r="L59" s="41" t="n"/>
      <c r="M59" s="48" t="inlineStr">
        <is>
          <t xml:space="preserve">CDI </t>
        </is>
      </c>
      <c r="N59" s="41" t="n"/>
      <c r="O59" s="41" t="n"/>
      <c r="Q59">
        <f>LEFT(I59,9)</f>
        <v/>
      </c>
      <c r="R59">
        <f>TRIM(B59)</f>
        <v/>
      </c>
      <c r="S59">
        <f>COUNTIF($X$1:$X$9,R59) &gt; 0</f>
        <v/>
      </c>
      <c r="T59">
        <f>IF(AND(S59=FALSE,LEN(R59)&gt;2),4,IF(S59=TRUE,INDEX($Y$1:$Y$9,MATCH(R59,$X$1:$X$9,0)),""))</f>
        <v/>
      </c>
      <c r="U59">
        <f>IF(R59&lt;&gt;"",IF(Q64="",0,MATCH(TRUE,INDEX(Q64:$Q$1100="",0),0)-1),"")</f>
        <v/>
      </c>
      <c r="V59">
        <f>IF(AND(T59&lt;&gt;"",U59&lt;&gt;""),IF(U59-T59&lt;=0,"Falls Short",U59-T59),"")</f>
        <v/>
      </c>
      <c r="W59">
        <f>IF(AND(R59&lt;&gt;"",V59&lt;&gt;"Falls Short"),20*V59,"")</f>
        <v/>
      </c>
    </row>
    <row r="60" ht="15" customHeight="1" s="21">
      <c r="A60" s="48" t="inlineStr">
        <is>
          <t xml:space="preserve"> </t>
        </is>
      </c>
      <c r="B60" s="41" t="n"/>
      <c r="C60" s="41" t="n"/>
      <c r="D60" s="46" t="n"/>
      <c r="E60" s="41" t="n"/>
      <c r="F60" s="41" t="n"/>
      <c r="G60" s="41" t="n"/>
      <c r="H60" s="41" t="n"/>
      <c r="I60" s="48" t="inlineStr">
        <is>
          <t>29-DEC-25</t>
        </is>
      </c>
      <c r="J60" s="41" t="n"/>
      <c r="K60" s="48" t="inlineStr">
        <is>
          <t>Training C</t>
        </is>
      </c>
      <c r="L60" s="41" t="n"/>
      <c r="M60" s="48" t="inlineStr">
        <is>
          <t xml:space="preserve">CDI </t>
        </is>
      </c>
      <c r="N60" s="41" t="n"/>
      <c r="O60" s="41" t="n"/>
      <c r="Q60">
        <f>LEFT(I60,9)</f>
        <v/>
      </c>
      <c r="R60">
        <f>TRIM(B60)</f>
        <v/>
      </c>
      <c r="S60">
        <f>COUNTIF($X$1:$X$9,R60) &gt; 0</f>
        <v/>
      </c>
      <c r="T60">
        <f>IF(AND(S60=FALSE,LEN(R60)&gt;2),4,IF(S60=TRUE,INDEX($Y$1:$Y$9,MATCH(R60,$X$1:$X$9,0)),""))</f>
        <v/>
      </c>
      <c r="U60">
        <f>IF(R60&lt;&gt;"",IF(Q65="",0,MATCH(TRUE,INDEX(Q65:$Q$1100="",0),0)-1),"")</f>
        <v/>
      </c>
      <c r="V60">
        <f>IF(AND(T60&lt;&gt;"",U60&lt;&gt;""),IF(U60-T60&lt;=0,"Falls Short",U60-T60),"")</f>
        <v/>
      </c>
      <c r="W60">
        <f>IF(AND(R60&lt;&gt;"",V60&lt;&gt;"Falls Short"),20*V60,"")</f>
        <v/>
      </c>
    </row>
    <row r="61" ht="15" customHeight="1" s="21">
      <c r="A61" s="48" t="inlineStr">
        <is>
          <t xml:space="preserve"> </t>
        </is>
      </c>
      <c r="B61" s="41" t="n"/>
      <c r="C61" s="41" t="n"/>
      <c r="D61" s="46" t="n"/>
      <c r="E61" s="41" t="n"/>
      <c r="F61" s="41" t="n"/>
      <c r="G61" s="41" t="n"/>
      <c r="H61" s="41" t="n"/>
      <c r="I61" s="48" t="inlineStr">
        <is>
          <t>30-DEC-25</t>
        </is>
      </c>
      <c r="J61" s="41" t="n"/>
      <c r="K61" s="48" t="inlineStr">
        <is>
          <t>Training C</t>
        </is>
      </c>
      <c r="L61" s="41" t="n"/>
      <c r="M61" s="48" t="inlineStr">
        <is>
          <t xml:space="preserve">CDI </t>
        </is>
      </c>
      <c r="N61" s="41" t="n"/>
      <c r="O61" s="41" t="n"/>
      <c r="Q61">
        <f>LEFT(I61,9)</f>
        <v/>
      </c>
      <c r="R61">
        <f>TRIM(B61)</f>
        <v/>
      </c>
      <c r="S61">
        <f>COUNTIF($X$1:$X$9,R61) &gt; 0</f>
        <v/>
      </c>
      <c r="T61">
        <f>IF(AND(S61=FALSE,LEN(R61)&gt;2),4,IF(S61=TRUE,INDEX($Y$1:$Y$9,MATCH(R61,$X$1:$X$9,0)),""))</f>
        <v/>
      </c>
      <c r="U61">
        <f>IF(R61&lt;&gt;"",IF(Q66="",0,MATCH(TRUE,INDEX(Q66:$Q$1100="",0),0)-1),"")</f>
        <v/>
      </c>
      <c r="V61">
        <f>IF(AND(T61&lt;&gt;"",U61&lt;&gt;""),IF(U61-T61&lt;=0,"Falls Short",U61-T61),"")</f>
        <v/>
      </c>
      <c r="W61">
        <f>IF(AND(R61&lt;&gt;"",V61&lt;&gt;"Falls Short"),20*V61,"")</f>
        <v/>
      </c>
    </row>
    <row r="62" ht="15" customHeight="1" s="21">
      <c r="A62" s="49" t="inlineStr">
        <is>
          <t xml:space="preserve"> </t>
        </is>
      </c>
      <c r="B62" s="41" t="n"/>
      <c r="C62" s="41" t="n"/>
      <c r="D62" s="41" t="n"/>
      <c r="E62" s="41" t="n"/>
      <c r="F62" s="41" t="n"/>
      <c r="G62" s="41" t="n"/>
      <c r="H62" s="41" t="n"/>
      <c r="I62" s="41" t="n"/>
      <c r="J62" s="41" t="n"/>
      <c r="K62" s="41" t="n"/>
      <c r="L62" s="41" t="n"/>
      <c r="M62" s="41" t="n"/>
      <c r="N62" s="41" t="n"/>
      <c r="O62" s="41" t="n"/>
      <c r="Q62">
        <f>LEFT(I62,9)</f>
        <v/>
      </c>
      <c r="R62">
        <f>TRIM(B62)</f>
        <v/>
      </c>
      <c r="S62">
        <f>COUNTIF($X$1:$X$9,R62) &gt; 0</f>
        <v/>
      </c>
      <c r="T62">
        <f>IF(AND(S62=FALSE,LEN(R62)&gt;2),4,IF(S62=TRUE,INDEX($Y$1:$Y$9,MATCH(R62,$X$1:$X$9,0)),""))</f>
        <v/>
      </c>
      <c r="U62">
        <f>IF(R62&lt;&gt;"",IF(Q67="",0,MATCH(TRUE,INDEX(Q67:$Q$1100="",0),0)-1),"")</f>
        <v/>
      </c>
      <c r="V62">
        <f>IF(AND(T62&lt;&gt;"",U62&lt;&gt;""),IF(U62-T62&lt;=0,"Falls Short",U62-T62),"")</f>
        <v/>
      </c>
      <c r="W62">
        <f>IF(AND(R62&lt;&gt;"",V62&lt;&gt;"Falls Short"),20*V62,"")</f>
        <v/>
      </c>
    </row>
    <row r="63" ht="15" customHeight="1" s="21">
      <c r="A63" s="49" t="inlineStr">
        <is>
          <t xml:space="preserve"> </t>
        </is>
      </c>
      <c r="B63" s="41" t="n"/>
      <c r="C63" s="41" t="n"/>
      <c r="D63" s="41" t="n"/>
      <c r="E63" s="41" t="n"/>
      <c r="F63" s="41" t="n"/>
      <c r="G63" s="41" t="n"/>
      <c r="H63" s="41" t="n"/>
      <c r="I63" s="41" t="n"/>
      <c r="J63" s="41" t="n"/>
      <c r="K63" s="41" t="n"/>
      <c r="L63" s="41" t="n"/>
      <c r="M63" s="41" t="n"/>
      <c r="N63" s="41" t="n"/>
      <c r="O63" s="41" t="n"/>
      <c r="Q63">
        <f>LEFT(I63,9)</f>
        <v/>
      </c>
      <c r="R63">
        <f>TRIM(B63)</f>
        <v/>
      </c>
      <c r="S63">
        <f>COUNTIF($X$1:$X$9,R63) &gt; 0</f>
        <v/>
      </c>
      <c r="T63">
        <f>IF(AND(S63=FALSE,LEN(R63)&gt;2),4,IF(S63=TRUE,INDEX($Y$1:$Y$9,MATCH(R63,$X$1:$X$9,0)),""))</f>
        <v/>
      </c>
      <c r="U63">
        <f>IF(R63&lt;&gt;"",IF(Q68="",0,MATCH(TRUE,INDEX(Q68:$Q$1100="",0),0)-1),"")</f>
        <v/>
      </c>
      <c r="V63">
        <f>IF(AND(T63&lt;&gt;"",U63&lt;&gt;""),IF(U63-T63&lt;=0,"Falls Short",U63-T63),"")</f>
        <v/>
      </c>
      <c r="W63">
        <f>IF(AND(R63&lt;&gt;"",V63&lt;&gt;"Falls Short"),20*V63,"")</f>
        <v/>
      </c>
    </row>
    <row r="64" ht="21.8" customHeight="1" s="21">
      <c r="A64" s="43" t="inlineStr">
        <is>
          <t xml:space="preserve"> </t>
        </is>
      </c>
      <c r="B64" s="41" t="n"/>
      <c r="C64" s="41" t="n"/>
      <c r="D64" s="41" t="n"/>
      <c r="E64" s="41" t="n"/>
      <c r="F64" s="41" t="n"/>
      <c r="G64" s="41" t="n"/>
      <c r="H64" s="41" t="n"/>
      <c r="I64" s="41" t="n"/>
      <c r="J64" s="41" t="n"/>
      <c r="K64" s="41" t="n"/>
      <c r="L64" s="41" t="n"/>
      <c r="M64" s="41" t="n"/>
      <c r="N64" s="41" t="n"/>
      <c r="O64" s="41" t="n"/>
      <c r="Q64">
        <f>LEFT(I64,9)</f>
        <v/>
      </c>
      <c r="R64">
        <f>TRIM(B64)</f>
        <v/>
      </c>
      <c r="S64">
        <f>COUNTIF($X$1:$X$9,R64) &gt; 0</f>
        <v/>
      </c>
      <c r="T64">
        <f>IF(AND(S64=FALSE,LEN(R64)&gt;2),4,IF(S64=TRUE,INDEX($Y$1:$Y$9,MATCH(R64,$X$1:$X$9,0)),""))</f>
        <v/>
      </c>
      <c r="U64">
        <f>IF(R64&lt;&gt;"",IF(Q69="",0,MATCH(TRUE,INDEX(Q69:$Q$1100="",0),0)-1),"")</f>
        <v/>
      </c>
      <c r="V64">
        <f>IF(AND(T64&lt;&gt;"",U64&lt;&gt;""),IF(U64-T64&lt;=0,"Falls Short",U64-T64),"")</f>
        <v/>
      </c>
      <c r="W64">
        <f>IF(AND(R64&lt;&gt;"",V64&lt;&gt;"Falls Short"),20*V64,"")</f>
        <v/>
      </c>
    </row>
    <row r="65" ht="15" customHeight="1" s="21">
      <c r="A65" s="49" t="inlineStr">
        <is>
          <t xml:space="preserve"> </t>
        </is>
      </c>
      <c r="B65" s="41" t="n"/>
      <c r="C65" s="41" t="n"/>
      <c r="D65" s="41" t="n"/>
      <c r="E65" s="41" t="n"/>
      <c r="F65" s="41" t="n"/>
      <c r="G65" s="41" t="n"/>
      <c r="H65" s="41" t="n"/>
      <c r="I65" s="41" t="n"/>
      <c r="J65" s="41" t="n"/>
      <c r="K65" s="41" t="n"/>
      <c r="L65" s="41" t="n"/>
      <c r="M65" s="41" t="n"/>
      <c r="N65" s="41" t="n"/>
      <c r="O65" s="41" t="n"/>
      <c r="Q65">
        <f>LEFT(I65,9)</f>
        <v/>
      </c>
      <c r="R65">
        <f>TRIM(B65)</f>
        <v/>
      </c>
      <c r="S65">
        <f>COUNTIF($X$1:$X$9,R65) &gt; 0</f>
        <v/>
      </c>
      <c r="T65">
        <f>IF(AND(S65=FALSE,LEN(R65)&gt;2),4,IF(S65=TRUE,INDEX($Y$1:$Y$9,MATCH(R65,$X$1:$X$9,0)),""))</f>
        <v/>
      </c>
      <c r="U65">
        <f>IF(R65&lt;&gt;"",IF(Q70="",0,MATCH(TRUE,INDEX(Q70:$Q$1100="",0),0)-1),"")</f>
        <v/>
      </c>
      <c r="V65">
        <f>IF(AND(T65&lt;&gt;"",U65&lt;&gt;""),IF(U65-T65&lt;=0,"Falls Short",U65-T65),"")</f>
        <v/>
      </c>
      <c r="W65">
        <f>IF(AND(R65&lt;&gt;"",V65&lt;&gt;"Falls Short"),20*V65,"")</f>
        <v/>
      </c>
    </row>
    <row r="66" ht="15" customHeight="1" s="21">
      <c r="A66" s="49" t="inlineStr">
        <is>
          <t xml:space="preserve"> </t>
        </is>
      </c>
      <c r="B66" s="41" t="n"/>
      <c r="C66" s="41" t="n"/>
      <c r="D66" s="41" t="n"/>
      <c r="E66" s="41" t="n"/>
      <c r="F66" s="41" t="n"/>
      <c r="G66" s="41" t="n"/>
      <c r="H66" s="41" t="n"/>
      <c r="I66" s="41" t="n"/>
      <c r="J66" s="41" t="n"/>
      <c r="K66" s="41" t="n"/>
      <c r="L66" s="41" t="n"/>
      <c r="M66" s="41" t="n"/>
      <c r="N66" s="41" t="n"/>
      <c r="O66" s="41" t="n"/>
      <c r="Q66">
        <f>LEFT(I66,9)</f>
        <v/>
      </c>
      <c r="R66">
        <f>TRIM(B66)</f>
        <v/>
      </c>
      <c r="S66">
        <f>COUNTIF($X$1:$X$9,R66) &gt; 0</f>
        <v/>
      </c>
      <c r="T66">
        <f>IF(AND(S66=FALSE,LEN(R66)&gt;2),4,IF(S66=TRUE,INDEX($Y$1:$Y$9,MATCH(R66,$X$1:$X$9,0)),""))</f>
        <v/>
      </c>
      <c r="U66">
        <f>IF(R66&lt;&gt;"",IF(Q71="",0,MATCH(TRUE,INDEX(Q71:$Q$1100="",0),0)-1),"")</f>
        <v/>
      </c>
      <c r="V66">
        <f>IF(AND(T66&lt;&gt;"",U66&lt;&gt;""),IF(U66-T66&lt;=0,"Falls Short",U66-T66),"")</f>
        <v/>
      </c>
      <c r="W66">
        <f>IF(AND(R66&lt;&gt;"",V66&lt;&gt;"Falls Short"),20*V66,"")</f>
        <v/>
      </c>
    </row>
    <row r="67" ht="15" customHeight="1" s="21">
      <c r="A67" s="43" t="inlineStr">
        <is>
          <t xml:space="preserve"> </t>
        </is>
      </c>
      <c r="B67" s="41" t="n"/>
      <c r="C67" s="41" t="n"/>
      <c r="D67" s="41" t="n"/>
      <c r="E67" s="41" t="n"/>
      <c r="F67" s="41" t="n"/>
      <c r="G67" s="41" t="n"/>
      <c r="H67" s="41" t="n"/>
      <c r="I67" s="41" t="n"/>
      <c r="J67" s="41" t="n"/>
      <c r="K67" s="41" t="n"/>
      <c r="L67" s="41" t="n"/>
      <c r="M67" s="41" t="n"/>
      <c r="N67" s="41" t="n"/>
      <c r="O67" s="41" t="n"/>
      <c r="Q67">
        <f>LEFT(I67,9)</f>
        <v/>
      </c>
      <c r="R67">
        <f>TRIM(B67)</f>
        <v/>
      </c>
      <c r="S67">
        <f>COUNTIF($X$1:$X$9,R67) &gt; 0</f>
        <v/>
      </c>
      <c r="T67">
        <f>IF(AND(S67=FALSE,LEN(R67)&gt;2),4,IF(S67=TRUE,INDEX($Y$1:$Y$9,MATCH(R67,$X$1:$X$9,0)),""))</f>
        <v/>
      </c>
      <c r="U67">
        <f>IF(R67&lt;&gt;"",IF(Q72="",0,MATCH(TRUE,INDEX(Q72:$Q$1100="",0),0)-1),"")</f>
        <v/>
      </c>
      <c r="V67">
        <f>IF(AND(T67&lt;&gt;"",U67&lt;&gt;""),IF(U67-T67&lt;=0,"Falls Short",U67-T67),"")</f>
        <v/>
      </c>
      <c r="W67">
        <f>IF(AND(R67&lt;&gt;"",V67&lt;&gt;"Falls Short"),20*V67,"")</f>
        <v/>
      </c>
    </row>
    <row r="68" ht="15" customHeight="1" s="21">
      <c r="A68" s="44" t="n"/>
      <c r="B68" s="44" t="n"/>
      <c r="C68" s="44" t="n"/>
      <c r="D68" s="41" t="n"/>
      <c r="E68" s="41" t="n"/>
      <c r="F68" s="41" t="n"/>
      <c r="G68" s="44" t="n"/>
      <c r="H68" s="45" t="inlineStr">
        <is>
          <t>Month</t>
        </is>
      </c>
      <c r="I68" s="41" t="n"/>
      <c r="J68" s="45" t="inlineStr">
        <is>
          <t>Days</t>
        </is>
      </c>
      <c r="K68" s="41" t="n"/>
      <c r="L68" s="41" t="n"/>
      <c r="M68" s="45" t="inlineStr">
        <is>
          <t>Total</t>
        </is>
      </c>
      <c r="N68" s="41" t="n"/>
      <c r="O68" s="41" t="n"/>
      <c r="Q68">
        <f>LEFT(I68,9)</f>
        <v/>
      </c>
      <c r="R68">
        <f>TRIM(B68)</f>
        <v/>
      </c>
      <c r="S68">
        <f>COUNTIF($X$1:$X$9,R68) &gt; 0</f>
        <v/>
      </c>
      <c r="T68">
        <f>IF(AND(S68=FALSE,LEN(R68)&gt;2),4,IF(S68=TRUE,INDEX($Y$1:$Y$9,MATCH(R68,$X$1:$X$9,0)),""))</f>
        <v/>
      </c>
      <c r="U68">
        <f>IF(R68&lt;&gt;"",IF(Q73="",0,MATCH(TRUE,INDEX(Q73:$Q$1100="",0),0)-1),"")</f>
        <v/>
      </c>
      <c r="V68">
        <f>IF(AND(T68&lt;&gt;"",U68&lt;&gt;""),IF(U68-T68&lt;=0,"Falls Short",U68-T68),"")</f>
        <v/>
      </c>
      <c r="W68">
        <f>IF(AND(R68&lt;&gt;"",V68&lt;&gt;"Falls Short"),20*V68,"")</f>
        <v/>
      </c>
    </row>
    <row r="69" ht="15" customHeight="1" s="21">
      <c r="A69" s="46" t="inlineStr">
        <is>
          <t>Job Role X</t>
        </is>
      </c>
      <c r="B69" s="42" t="inlineStr">
        <is>
          <t>RRD</t>
        </is>
      </c>
      <c r="C69" s="42" t="inlineStr">
        <is>
          <t xml:space="preserve">   SIGMA EIGHTEEN</t>
        </is>
      </c>
      <c r="D69" s="41" t="n"/>
      <c r="E69" s="41" t="n"/>
      <c r="F69" s="41" t="n"/>
      <c r="G69" s="42" t="inlineStr">
        <is>
          <t xml:space="preserve">10046        </t>
        </is>
      </c>
      <c r="H69" s="47" t="n"/>
      <c r="I69" s="41" t="n"/>
      <c r="J69" s="47" t="n"/>
      <c r="K69" s="41" t="n"/>
      <c r="L69" s="41" t="n"/>
      <c r="M69" s="47" t="n"/>
      <c r="N69" s="41" t="n"/>
      <c r="O69" s="41" t="n"/>
      <c r="Q69">
        <f>LEFT(I69,9)</f>
        <v/>
      </c>
      <c r="R69">
        <f>TRIM(B69)</f>
        <v/>
      </c>
      <c r="S69">
        <f>COUNTIF($X$1:$X$9,R69) &gt; 0</f>
        <v/>
      </c>
      <c r="T69">
        <f>IF(AND(S69=FALSE,LEN(R69)&gt;2),4,IF(S69=TRUE,INDEX($Y$1:$Y$9,MATCH(R69,$X$1:$X$9,0)),""))</f>
        <v/>
      </c>
      <c r="U69">
        <f>IF(R69&lt;&gt;"",IF(Q74="",0,MATCH(TRUE,INDEX(Q74:$Q$1100="",0),0)-1),"")</f>
        <v/>
      </c>
      <c r="V69">
        <f>IF(AND(T69&lt;&gt;"",U69&lt;&gt;""),IF(U69-T69&lt;=0,"Falls Short",U69-T69),"")</f>
        <v/>
      </c>
      <c r="W69">
        <f>IF(AND(R69&lt;&gt;"",V69&lt;&gt;"Falls Short"),20*V69,"")</f>
        <v/>
      </c>
    </row>
    <row r="70" ht="15" customHeight="1" s="21">
      <c r="A70" s="42" t="n"/>
      <c r="B70" s="46" t="n"/>
      <c r="C70" s="46" t="n"/>
      <c r="D70" s="41" t="n"/>
      <c r="E70" s="41" t="n"/>
      <c r="F70" s="41" t="n"/>
      <c r="G70" s="46" t="n"/>
      <c r="H70" s="46" t="n"/>
      <c r="I70" s="41" t="n"/>
      <c r="J70" s="46" t="n"/>
      <c r="K70" s="41" t="n"/>
      <c r="L70" s="41" t="n"/>
      <c r="M70" s="48" t="inlineStr">
        <is>
          <t>2</t>
        </is>
      </c>
      <c r="N70" s="41" t="n"/>
      <c r="O70" s="41" t="n"/>
      <c r="Q70">
        <f>LEFT(I70,9)</f>
        <v/>
      </c>
      <c r="R70">
        <f>TRIM(B70)</f>
        <v/>
      </c>
      <c r="S70">
        <f>COUNTIF($X$1:$X$9,R70) &gt; 0</f>
        <v/>
      </c>
      <c r="T70">
        <f>IF(AND(S70=FALSE,LEN(R70)&gt;2),4,IF(S70=TRUE,INDEX($Y$1:$Y$9,MATCH(R70,$X$1:$X$9,0)),""))</f>
        <v/>
      </c>
      <c r="U70">
        <f>IF(R70&lt;&gt;"",IF(Q75="",0,MATCH(TRUE,INDEX(Q75:$Q$1100="",0),0)-1),"")</f>
        <v/>
      </c>
      <c r="V70">
        <f>IF(AND(T70&lt;&gt;"",U70&lt;&gt;""),IF(U70-T70&lt;=0,"Falls Short",U70-T70),"")</f>
        <v/>
      </c>
      <c r="W70">
        <f>IF(AND(R70&lt;&gt;"",V70&lt;&gt;"Falls Short"),20*V70,"")</f>
        <v/>
      </c>
    </row>
    <row r="71" ht="15" customHeight="1" s="21">
      <c r="A71" s="43" t="inlineStr">
        <is>
          <t xml:space="preserve"> </t>
        </is>
      </c>
      <c r="B71" s="41" t="n"/>
      <c r="C71" s="41" t="n"/>
      <c r="D71" s="41" t="n"/>
      <c r="E71" s="41" t="n"/>
      <c r="F71" s="41" t="n"/>
      <c r="G71" s="41" t="n"/>
      <c r="H71" s="41" t="n"/>
      <c r="I71" s="41" t="n"/>
      <c r="J71" s="41" t="n"/>
      <c r="K71" s="41" t="n"/>
      <c r="L71" s="41" t="n"/>
      <c r="M71" s="41" t="n"/>
      <c r="N71" s="41" t="n"/>
      <c r="O71" s="41" t="n"/>
      <c r="Q71">
        <f>LEFT(I71,9)</f>
        <v/>
      </c>
      <c r="R71">
        <f>TRIM(B71)</f>
        <v/>
      </c>
      <c r="S71">
        <f>COUNTIF($X$1:$X$9,R71) &gt; 0</f>
        <v/>
      </c>
      <c r="T71">
        <f>IF(AND(S71=FALSE,LEN(R71)&gt;2),4,IF(S71=TRUE,INDEX($Y$1:$Y$9,MATCH(R71,$X$1:$X$9,0)),""))</f>
        <v/>
      </c>
      <c r="U71">
        <f>IF(R71&lt;&gt;"",IF(Q76="",0,MATCH(TRUE,INDEX(Q76:$Q$1100="",0),0)-1),"")</f>
        <v/>
      </c>
      <c r="V71">
        <f>IF(AND(T71&lt;&gt;"",U71&lt;&gt;""),IF(U71-T71&lt;=0,"Falls Short",U71-T71),"")</f>
        <v/>
      </c>
      <c r="W71">
        <f>IF(AND(R71&lt;&gt;"",V71&lt;&gt;"Falls Short"),20*V71,"")</f>
        <v/>
      </c>
    </row>
    <row r="72" ht="15" customHeight="1" s="21">
      <c r="A72" s="46" t="n"/>
      <c r="B72" s="41" t="n"/>
      <c r="C72" s="41" t="n"/>
      <c r="D72" s="41" t="n"/>
      <c r="E72" s="46" t="n"/>
      <c r="F72" s="41" t="n"/>
      <c r="G72" s="41" t="n"/>
      <c r="H72" s="48" t="inlineStr">
        <is>
          <t>12 / 2025</t>
        </is>
      </c>
      <c r="I72" s="41" t="n"/>
      <c r="J72" s="48" t="inlineStr">
        <is>
          <t>2</t>
        </is>
      </c>
      <c r="K72" s="46" t="n"/>
      <c r="L72" s="41" t="n"/>
      <c r="M72" s="41" t="n"/>
      <c r="N72" s="41" t="n"/>
      <c r="O72" s="41" t="n"/>
      <c r="Q72">
        <f>LEFT(I72,9)</f>
        <v/>
      </c>
      <c r="R72">
        <f>TRIM(B72)</f>
        <v/>
      </c>
      <c r="S72">
        <f>COUNTIF($X$1:$X$9,R72) &gt; 0</f>
        <v/>
      </c>
      <c r="T72">
        <f>IF(AND(S72=FALSE,LEN(R72)&gt;2),4,IF(S72=TRUE,INDEX($Y$1:$Y$9,MATCH(R72,$X$1:$X$9,0)),""))</f>
        <v/>
      </c>
      <c r="U72">
        <f>IF(R72&lt;&gt;"",IF(Q77="",0,MATCH(TRUE,INDEX(Q77:$Q$1100="",0),0)-1),"")</f>
        <v/>
      </c>
      <c r="V72">
        <f>IF(AND(T72&lt;&gt;"",U72&lt;&gt;""),IF(U72-T72&lt;=0,"Falls Short",U72-T72),"")</f>
        <v/>
      </c>
      <c r="W72">
        <f>IF(AND(R72&lt;&gt;"",V72&lt;&gt;"Falls Short"),20*V72,"")</f>
        <v/>
      </c>
    </row>
    <row r="73" ht="15" customHeight="1" s="21">
      <c r="A73" s="43" t="inlineStr">
        <is>
          <t xml:space="preserve"> </t>
        </is>
      </c>
      <c r="B73" s="41" t="n"/>
      <c r="C73" s="41" t="n"/>
      <c r="D73" s="41" t="n"/>
      <c r="E73" s="41" t="n"/>
      <c r="F73" s="41" t="n"/>
      <c r="G73" s="41" t="n"/>
      <c r="H73" s="41" t="n"/>
      <c r="I73" s="41" t="n"/>
      <c r="J73" s="41" t="n"/>
      <c r="K73" s="41" t="n"/>
      <c r="L73" s="41" t="n"/>
      <c r="M73" s="41" t="n"/>
      <c r="N73" s="41" t="n"/>
      <c r="O73" s="41" t="n"/>
      <c r="Q73">
        <f>LEFT(I73,9)</f>
        <v/>
      </c>
      <c r="R73">
        <f>TRIM(B73)</f>
        <v/>
      </c>
      <c r="S73">
        <f>COUNTIF($X$1:$X$9,R73) &gt; 0</f>
        <v/>
      </c>
      <c r="T73">
        <f>IF(AND(S73=FALSE,LEN(R73)&gt;2),4,IF(S73=TRUE,INDEX($Y$1:$Y$9,MATCH(R73,$X$1:$X$9,0)),""))</f>
        <v/>
      </c>
      <c r="U73">
        <f>IF(R73&lt;&gt;"",IF(Q78="",0,MATCH(TRUE,INDEX(Q78:$Q$1100="",0),0)-1),"")</f>
        <v/>
      </c>
      <c r="V73">
        <f>IF(AND(T73&lt;&gt;"",U73&lt;&gt;""),IF(U73-T73&lt;=0,"Falls Short",U73-T73),"")</f>
        <v/>
      </c>
      <c r="W73">
        <f>IF(AND(R73&lt;&gt;"",V73&lt;&gt;"Falls Short"),20*V73,"")</f>
        <v/>
      </c>
    </row>
    <row r="74" ht="21.8" customHeight="1" s="21">
      <c r="A74" s="48" t="inlineStr">
        <is>
          <t xml:space="preserve"> </t>
        </is>
      </c>
      <c r="B74" s="41" t="n"/>
      <c r="C74" s="41" t="n"/>
      <c r="D74" s="46" t="n"/>
      <c r="E74" s="41" t="n"/>
      <c r="F74" s="41" t="n"/>
      <c r="G74" s="41" t="n"/>
      <c r="H74" s="41" t="n"/>
      <c r="I74" s="48" t="inlineStr">
        <is>
          <t>18-DEC-25</t>
        </is>
      </c>
      <c r="J74" s="41" t="n"/>
      <c r="K74" s="48" t="inlineStr">
        <is>
          <t>Training D</t>
        </is>
      </c>
      <c r="L74" s="41" t="n"/>
      <c r="M74" s="48" t="inlineStr">
        <is>
          <t xml:space="preserve">CDI </t>
        </is>
      </c>
      <c r="N74" s="41" t="n"/>
      <c r="O74" s="41" t="n"/>
      <c r="Q74">
        <f>LEFT(I74,9)</f>
        <v/>
      </c>
      <c r="R74">
        <f>TRIM(B74)</f>
        <v/>
      </c>
      <c r="S74">
        <f>COUNTIF($X$1:$X$9,R74) &gt; 0</f>
        <v/>
      </c>
      <c r="T74">
        <f>IF(AND(S74=FALSE,LEN(R74)&gt;2),4,IF(S74=TRUE,INDEX($Y$1:$Y$9,MATCH(R74,$X$1:$X$9,0)),""))</f>
        <v/>
      </c>
      <c r="U74">
        <f>IF(R74&lt;&gt;"",IF(Q79="",0,MATCH(TRUE,INDEX(Q79:$Q$1100="",0),0)-1),"")</f>
        <v/>
      </c>
      <c r="V74">
        <f>IF(AND(T74&lt;&gt;"",U74&lt;&gt;""),IF(U74-T74&lt;=0,"Falls Short",U74-T74),"")</f>
        <v/>
      </c>
      <c r="W74">
        <f>IF(AND(R74&lt;&gt;"",V74&lt;&gt;"Falls Short"),20*V74,"")</f>
        <v/>
      </c>
    </row>
    <row r="75" ht="15" customHeight="1" s="21">
      <c r="A75" s="48" t="inlineStr">
        <is>
          <t xml:space="preserve"> </t>
        </is>
      </c>
      <c r="B75" s="41" t="n"/>
      <c r="C75" s="41" t="n"/>
      <c r="D75" s="46" t="n"/>
      <c r="E75" s="41" t="n"/>
      <c r="F75" s="41" t="n"/>
      <c r="G75" s="41" t="n"/>
      <c r="H75" s="41" t="n"/>
      <c r="I75" s="48" t="inlineStr">
        <is>
          <t>19-DEC-25</t>
        </is>
      </c>
      <c r="J75" s="41" t="n"/>
      <c r="K75" s="48" t="inlineStr">
        <is>
          <t>Training D</t>
        </is>
      </c>
      <c r="L75" s="41" t="n"/>
      <c r="M75" s="48" t="inlineStr">
        <is>
          <t xml:space="preserve">CDI </t>
        </is>
      </c>
      <c r="N75" s="41" t="n"/>
      <c r="O75" s="41" t="n"/>
      <c r="Q75">
        <f>LEFT(I75,9)</f>
        <v/>
      </c>
      <c r="R75">
        <f>TRIM(B75)</f>
        <v/>
      </c>
      <c r="S75">
        <f>COUNTIF($X$1:$X$9,R75) &gt; 0</f>
        <v/>
      </c>
      <c r="T75">
        <f>IF(AND(S75=FALSE,LEN(R75)&gt;2),4,IF(S75=TRUE,INDEX($Y$1:$Y$9,MATCH(R75,$X$1:$X$9,0)),""))</f>
        <v/>
      </c>
      <c r="U75">
        <f>IF(R75&lt;&gt;"",IF(Q80="",0,MATCH(TRUE,INDEX(Q80:$Q$1100="",0),0)-1),"")</f>
        <v/>
      </c>
      <c r="V75">
        <f>IF(AND(T75&lt;&gt;"",U75&lt;&gt;""),IF(U75-T75&lt;=0,"Falls Short",U75-T75),"")</f>
        <v/>
      </c>
      <c r="W75">
        <f>IF(AND(R75&lt;&gt;"",V75&lt;&gt;"Falls Short"),20*V75,"")</f>
        <v/>
      </c>
    </row>
    <row r="76" ht="15" customHeight="1" s="21">
      <c r="A76" s="49" t="inlineStr">
        <is>
          <t xml:space="preserve"> </t>
        </is>
      </c>
      <c r="B76" s="41" t="n"/>
      <c r="C76" s="41" t="n"/>
      <c r="D76" s="41" t="n"/>
      <c r="E76" s="41" t="n"/>
      <c r="F76" s="41" t="n"/>
      <c r="G76" s="41" t="n"/>
      <c r="H76" s="41" t="n"/>
      <c r="I76" s="41" t="n"/>
      <c r="J76" s="41" t="n"/>
      <c r="K76" s="41" t="n"/>
      <c r="L76" s="41" t="n"/>
      <c r="M76" s="41" t="n"/>
      <c r="N76" s="41" t="n"/>
      <c r="O76" s="41" t="n"/>
      <c r="Q76">
        <f>LEFT(I76,9)</f>
        <v/>
      </c>
      <c r="R76">
        <f>TRIM(B76)</f>
        <v/>
      </c>
      <c r="S76">
        <f>COUNTIF($X$1:$X$9,R76) &gt; 0</f>
        <v/>
      </c>
      <c r="T76">
        <f>IF(AND(S76=FALSE,LEN(R76)&gt;2),4,IF(S76=TRUE,INDEX($Y$1:$Y$9,MATCH(R76,$X$1:$X$9,0)),""))</f>
        <v/>
      </c>
      <c r="U76">
        <f>IF(R76&lt;&gt;"",IF(Q81="",0,MATCH(TRUE,INDEX(Q81:$Q$1100="",0),0)-1),"")</f>
        <v/>
      </c>
      <c r="V76">
        <f>IF(AND(T76&lt;&gt;"",U76&lt;&gt;""),IF(U76-T76&lt;=0,"Falls Short",U76-T76),"")</f>
        <v/>
      </c>
      <c r="W76">
        <f>IF(AND(R76&lt;&gt;"",V76&lt;&gt;"Falls Short"),20*V76,"")</f>
        <v/>
      </c>
    </row>
    <row r="77" ht="15" customHeight="1" s="21">
      <c r="A77" s="49" t="inlineStr">
        <is>
          <t xml:space="preserve"> </t>
        </is>
      </c>
      <c r="B77" s="41" t="n"/>
      <c r="C77" s="41" t="n"/>
      <c r="D77" s="41" t="n"/>
      <c r="E77" s="41" t="n"/>
      <c r="F77" s="41" t="n"/>
      <c r="G77" s="41" t="n"/>
      <c r="H77" s="41" t="n"/>
      <c r="I77" s="41" t="n"/>
      <c r="J77" s="41" t="n"/>
      <c r="K77" s="41" t="n"/>
      <c r="L77" s="41" t="n"/>
      <c r="M77" s="41" t="n"/>
      <c r="N77" s="41" t="n"/>
      <c r="O77" s="41" t="n"/>
      <c r="Q77">
        <f>LEFT(I77,9)</f>
        <v/>
      </c>
      <c r="R77">
        <f>TRIM(B77)</f>
        <v/>
      </c>
      <c r="S77">
        <f>COUNTIF($X$1:$X$9,R77) &gt; 0</f>
        <v/>
      </c>
      <c r="T77">
        <f>IF(AND(S77=FALSE,LEN(R77)&gt;2),4,IF(S77=TRUE,INDEX($Y$1:$Y$9,MATCH(R77,$X$1:$X$9,0)),""))</f>
        <v/>
      </c>
      <c r="U77">
        <f>IF(R77&lt;&gt;"",IF(Q82="",0,MATCH(TRUE,INDEX(Q82:$Q$1100="",0),0)-1),"")</f>
        <v/>
      </c>
      <c r="V77">
        <f>IF(AND(T77&lt;&gt;"",U77&lt;&gt;""),IF(U77-T77&lt;=0,"Falls Short",U77-T77),"")</f>
        <v/>
      </c>
      <c r="W77">
        <f>IF(AND(R77&lt;&gt;"",V77&lt;&gt;"Falls Short"),20*V77,"")</f>
        <v/>
      </c>
    </row>
    <row r="78" ht="15" customHeight="1" s="21">
      <c r="A78" s="43" t="inlineStr">
        <is>
          <t xml:space="preserve"> </t>
        </is>
      </c>
      <c r="B78" s="41" t="n"/>
      <c r="C78" s="41" t="n"/>
      <c r="D78" s="41" t="n"/>
      <c r="E78" s="41" t="n"/>
      <c r="F78" s="41" t="n"/>
      <c r="G78" s="41" t="n"/>
      <c r="H78" s="41" t="n"/>
      <c r="I78" s="41" t="n"/>
      <c r="J78" s="41" t="n"/>
      <c r="K78" s="41" t="n"/>
      <c r="L78" s="41" t="n"/>
      <c r="M78" s="41" t="n"/>
      <c r="N78" s="41" t="n"/>
      <c r="O78" s="41" t="n"/>
      <c r="Q78">
        <f>LEFT(I78,9)</f>
        <v/>
      </c>
      <c r="R78">
        <f>TRIM(B78)</f>
        <v/>
      </c>
      <c r="S78">
        <f>COUNTIF($X$1:$X$9,R78) &gt; 0</f>
        <v/>
      </c>
      <c r="T78">
        <f>IF(AND(S78=FALSE,LEN(R78)&gt;2),4,IF(S78=TRUE,INDEX($Y$1:$Y$9,MATCH(R78,$X$1:$X$9,0)),""))</f>
        <v/>
      </c>
      <c r="U78">
        <f>IF(R78&lt;&gt;"",IF(Q83="",0,MATCH(TRUE,INDEX(Q83:$Q$1100="",0),0)-1),"")</f>
        <v/>
      </c>
      <c r="V78">
        <f>IF(AND(T78&lt;&gt;"",U78&lt;&gt;""),IF(U78-T78&lt;=0,"Falls Short",U78-T78),"")</f>
        <v/>
      </c>
      <c r="W78">
        <f>IF(AND(R78&lt;&gt;"",V78&lt;&gt;"Falls Short"),20*V78,"")</f>
        <v/>
      </c>
    </row>
    <row r="79" ht="15" customHeight="1" s="21">
      <c r="A79" s="44" t="n"/>
      <c r="B79" s="44" t="n"/>
      <c r="C79" s="44" t="n"/>
      <c r="D79" s="41" t="n"/>
      <c r="E79" s="41" t="n"/>
      <c r="F79" s="41" t="n"/>
      <c r="G79" s="44" t="n"/>
      <c r="H79" s="45" t="inlineStr">
        <is>
          <t>Month</t>
        </is>
      </c>
      <c r="I79" s="41" t="n"/>
      <c r="J79" s="45" t="inlineStr">
        <is>
          <t>Days</t>
        </is>
      </c>
      <c r="K79" s="41" t="n"/>
      <c r="L79" s="41" t="n"/>
      <c r="M79" s="45" t="inlineStr">
        <is>
          <t>Total</t>
        </is>
      </c>
      <c r="N79" s="41" t="n"/>
      <c r="O79" s="41" t="n"/>
      <c r="Q79">
        <f>LEFT(I79,9)</f>
        <v/>
      </c>
      <c r="R79">
        <f>TRIM(B79)</f>
        <v/>
      </c>
      <c r="S79">
        <f>COUNTIF($X$1:$X$9,R79) &gt; 0</f>
        <v/>
      </c>
      <c r="T79">
        <f>IF(AND(S79=FALSE,LEN(R79)&gt;2),4,IF(S79=TRUE,INDEX($Y$1:$Y$9,MATCH(R79,$X$1:$X$9,0)),""))</f>
        <v/>
      </c>
      <c r="U79">
        <f>IF(R79&lt;&gt;"",IF(Q84="",0,MATCH(TRUE,INDEX(Q84:$Q$1100="",0),0)-1),"")</f>
        <v/>
      </c>
      <c r="V79">
        <f>IF(AND(T79&lt;&gt;"",U79&lt;&gt;""),IF(U79-T79&lt;=0,"Falls Short",U79-T79),"")</f>
        <v/>
      </c>
      <c r="W79">
        <f>IF(AND(R79&lt;&gt;"",V79&lt;&gt;"Falls Short"),20*V79,"")</f>
        <v/>
      </c>
    </row>
    <row r="80" ht="15" customHeight="1" s="21">
      <c r="A80" s="46" t="inlineStr">
        <is>
          <t>Job Role X</t>
        </is>
      </c>
      <c r="B80" s="42" t="inlineStr">
        <is>
          <t>SSE</t>
        </is>
      </c>
      <c r="C80" s="42" t="inlineStr">
        <is>
          <t xml:space="preserve">   TAU NINETEEN</t>
        </is>
      </c>
      <c r="D80" s="41" t="n"/>
      <c r="E80" s="41" t="n"/>
      <c r="F80" s="41" t="n"/>
      <c r="G80" s="42" t="inlineStr">
        <is>
          <t xml:space="preserve">10027       </t>
        </is>
      </c>
      <c r="H80" s="47" t="n"/>
      <c r="I80" s="41" t="n"/>
      <c r="J80" s="47" t="n"/>
      <c r="K80" s="41" t="n"/>
      <c r="L80" s="41" t="n"/>
      <c r="M80" s="47" t="n"/>
      <c r="N80" s="41" t="n"/>
      <c r="O80" s="41" t="n"/>
      <c r="Q80">
        <f>LEFT(I80,9)</f>
        <v/>
      </c>
      <c r="R80">
        <f>TRIM(B80)</f>
        <v/>
      </c>
      <c r="S80">
        <f>COUNTIF($X$1:$X$9,R80) &gt; 0</f>
        <v/>
      </c>
      <c r="T80">
        <f>IF(AND(S80=FALSE,LEN(R80)&gt;2),4,IF(S80=TRUE,INDEX($Y$1:$Y$9,MATCH(R80,$X$1:$X$9,0)),""))</f>
        <v/>
      </c>
      <c r="U80">
        <f>IF(R80&lt;&gt;"",IF(Q85="",0,MATCH(TRUE,INDEX(Q85:$Q$1100="",0),0)-1),"")</f>
        <v/>
      </c>
      <c r="V80">
        <f>IF(AND(T80&lt;&gt;"",U80&lt;&gt;""),IF(U80-T80&lt;=0,"Falls Short",U80-T80),"")</f>
        <v/>
      </c>
      <c r="W80">
        <f>IF(AND(R80&lt;&gt;"",V80&lt;&gt;"Falls Short"),20*V80,"")</f>
        <v/>
      </c>
    </row>
    <row r="81" ht="15" customHeight="1" s="21">
      <c r="A81" s="42" t="n"/>
      <c r="B81" s="46" t="n"/>
      <c r="C81" s="46" t="n"/>
      <c r="D81" s="41" t="n"/>
      <c r="E81" s="41" t="n"/>
      <c r="F81" s="41" t="n"/>
      <c r="G81" s="46" t="n"/>
      <c r="H81" s="46" t="n"/>
      <c r="I81" s="41" t="n"/>
      <c r="J81" s="46" t="n"/>
      <c r="K81" s="41" t="n"/>
      <c r="L81" s="41" t="n"/>
      <c r="M81" s="48" t="inlineStr">
        <is>
          <t>2</t>
        </is>
      </c>
      <c r="N81" s="41" t="n"/>
      <c r="O81" s="41" t="n"/>
      <c r="Q81">
        <f>LEFT(I81,9)</f>
        <v/>
      </c>
      <c r="R81">
        <f>TRIM(B81)</f>
        <v/>
      </c>
      <c r="S81">
        <f>COUNTIF($X$1:$X$9,R81) &gt; 0</f>
        <v/>
      </c>
      <c r="T81">
        <f>IF(AND(S81=FALSE,LEN(R81)&gt;2),4,IF(S81=TRUE,INDEX($Y$1:$Y$9,MATCH(R81,$X$1:$X$9,0)),""))</f>
        <v/>
      </c>
      <c r="U81">
        <f>IF(R81&lt;&gt;"",IF(Q86="",0,MATCH(TRUE,INDEX(Q86:$Q$1100="",0),0)-1),"")</f>
        <v/>
      </c>
      <c r="V81">
        <f>IF(AND(T81&lt;&gt;"",U81&lt;&gt;""),IF(U81-T81&lt;=0,"Falls Short",U81-T81),"")</f>
        <v/>
      </c>
      <c r="W81">
        <f>IF(AND(R81&lt;&gt;"",V81&lt;&gt;"Falls Short"),20*V81,"")</f>
        <v/>
      </c>
    </row>
    <row r="82" ht="15" customHeight="1" s="21">
      <c r="A82" s="43" t="inlineStr">
        <is>
          <t xml:space="preserve"> </t>
        </is>
      </c>
      <c r="B82" s="41" t="n"/>
      <c r="C82" s="41" t="n"/>
      <c r="D82" s="41" t="n"/>
      <c r="E82" s="41" t="n"/>
      <c r="F82" s="41" t="n"/>
      <c r="G82" s="41" t="n"/>
      <c r="H82" s="41" t="n"/>
      <c r="I82" s="41" t="n"/>
      <c r="J82" s="41" t="n"/>
      <c r="K82" s="41" t="n"/>
      <c r="L82" s="41" t="n"/>
      <c r="M82" s="41" t="n"/>
      <c r="N82" s="41" t="n"/>
      <c r="O82" s="41" t="n"/>
      <c r="Q82">
        <f>LEFT(I82,9)</f>
        <v/>
      </c>
      <c r="R82">
        <f>TRIM(B82)</f>
        <v/>
      </c>
      <c r="S82">
        <f>COUNTIF($X$1:$X$9,R82) &gt; 0</f>
        <v/>
      </c>
      <c r="T82">
        <f>IF(AND(S82=FALSE,LEN(R82)&gt;2),4,IF(S82=TRUE,INDEX($Y$1:$Y$9,MATCH(R82,$X$1:$X$9,0)),""))</f>
        <v/>
      </c>
      <c r="U82">
        <f>IF(R82&lt;&gt;"",IF(Q87="",0,MATCH(TRUE,INDEX(Q87:$Q$1100="",0),0)-1),"")</f>
        <v/>
      </c>
      <c r="V82">
        <f>IF(AND(T82&lt;&gt;"",U82&lt;&gt;""),IF(U82-T82&lt;=0,"Falls Short",U82-T82),"")</f>
        <v/>
      </c>
      <c r="W82">
        <f>IF(AND(R82&lt;&gt;"",V82&lt;&gt;"Falls Short"),20*V82,"")</f>
        <v/>
      </c>
    </row>
    <row r="83" ht="15" customHeight="1" s="21">
      <c r="A83" s="46" t="n"/>
      <c r="B83" s="41" t="n"/>
      <c r="C83" s="41" t="n"/>
      <c r="D83" s="41" t="n"/>
      <c r="E83" s="46" t="n"/>
      <c r="F83" s="41" t="n"/>
      <c r="G83" s="41" t="n"/>
      <c r="H83" s="48" t="inlineStr">
        <is>
          <t>12 / 2025</t>
        </is>
      </c>
      <c r="I83" s="41" t="n"/>
      <c r="J83" s="48" t="inlineStr">
        <is>
          <t>2</t>
        </is>
      </c>
      <c r="K83" s="46" t="n"/>
      <c r="L83" s="41" t="n"/>
      <c r="M83" s="41" t="n"/>
      <c r="N83" s="41" t="n"/>
      <c r="O83" s="41" t="n"/>
      <c r="Q83">
        <f>LEFT(I83,9)</f>
        <v/>
      </c>
      <c r="R83">
        <f>TRIM(B83)</f>
        <v/>
      </c>
      <c r="S83">
        <f>COUNTIF($X$1:$X$9,R83) &gt; 0</f>
        <v/>
      </c>
      <c r="T83">
        <f>IF(AND(S83=FALSE,LEN(R83)&gt;2),4,IF(S83=TRUE,INDEX($Y$1:$Y$9,MATCH(R83,$X$1:$X$9,0)),""))</f>
        <v/>
      </c>
      <c r="U83">
        <f>IF(R83&lt;&gt;"",IF(Q88="",0,MATCH(TRUE,INDEX(Q88:$Q$1100="",0),0)-1),"")</f>
        <v/>
      </c>
      <c r="V83">
        <f>IF(AND(T83&lt;&gt;"",U83&lt;&gt;""),IF(U83-T83&lt;=0,"Falls Short",U83-T83),"")</f>
        <v/>
      </c>
      <c r="W83">
        <f>IF(AND(R83&lt;&gt;"",V83&lt;&gt;"Falls Short"),20*V83,"")</f>
        <v/>
      </c>
    </row>
    <row r="84" ht="15" customHeight="1" s="21">
      <c r="A84" s="43" t="inlineStr">
        <is>
          <t xml:space="preserve"> </t>
        </is>
      </c>
      <c r="B84" s="41" t="n"/>
      <c r="C84" s="41" t="n"/>
      <c r="D84" s="41" t="n"/>
      <c r="E84" s="41" t="n"/>
      <c r="F84" s="41" t="n"/>
      <c r="G84" s="41" t="n"/>
      <c r="H84" s="41" t="n"/>
      <c r="I84" s="41" t="n"/>
      <c r="J84" s="41" t="n"/>
      <c r="K84" s="41" t="n"/>
      <c r="L84" s="41" t="n"/>
      <c r="M84" s="41" t="n"/>
      <c r="N84" s="41" t="n"/>
      <c r="O84" s="41" t="n"/>
      <c r="Q84">
        <f>LEFT(I84,9)</f>
        <v/>
      </c>
      <c r="R84">
        <f>TRIM(B84)</f>
        <v/>
      </c>
      <c r="S84">
        <f>COUNTIF($X$1:$X$9,R84) &gt; 0</f>
        <v/>
      </c>
      <c r="T84">
        <f>IF(AND(S84=FALSE,LEN(R84)&gt;2),4,IF(S84=TRUE,INDEX($Y$1:$Y$9,MATCH(R84,$X$1:$X$9,0)),""))</f>
        <v/>
      </c>
      <c r="U84">
        <f>IF(R84&lt;&gt;"",IF(Q89="",0,MATCH(TRUE,INDEX(Q89:$Q$1100="",0),0)-1),"")</f>
        <v/>
      </c>
      <c r="V84">
        <f>IF(AND(T84&lt;&gt;"",U84&lt;&gt;""),IF(U84-T84&lt;=0,"Falls Short",U84-T84),"")</f>
        <v/>
      </c>
      <c r="W84">
        <f>IF(AND(R84&lt;&gt;"",V84&lt;&gt;"Falls Short"),20*V84,"")</f>
        <v/>
      </c>
    </row>
    <row r="85" ht="21.8" customHeight="1" s="21">
      <c r="A85" s="48" t="inlineStr">
        <is>
          <t xml:space="preserve"> </t>
        </is>
      </c>
      <c r="B85" s="41" t="n"/>
      <c r="C85" s="41" t="n"/>
      <c r="D85" s="46" t="n"/>
      <c r="E85" s="41" t="n"/>
      <c r="F85" s="41" t="n"/>
      <c r="G85" s="41" t="n"/>
      <c r="H85" s="41" t="n"/>
      <c r="I85" s="48" t="inlineStr">
        <is>
          <t>02-DEC-25</t>
        </is>
      </c>
      <c r="J85" s="41" t="n"/>
      <c r="K85" s="48" t="inlineStr">
        <is>
          <t>Training C</t>
        </is>
      </c>
      <c r="L85" s="41" t="n"/>
      <c r="M85" s="48" t="inlineStr">
        <is>
          <t xml:space="preserve">CDI </t>
        </is>
      </c>
      <c r="N85" s="41" t="n"/>
      <c r="O85" s="41" t="n"/>
      <c r="Q85">
        <f>LEFT(I85,9)</f>
        <v/>
      </c>
      <c r="R85">
        <f>TRIM(B85)</f>
        <v/>
      </c>
      <c r="S85">
        <f>COUNTIF($X$1:$X$9,R85) &gt; 0</f>
        <v/>
      </c>
      <c r="T85">
        <f>IF(AND(S85=FALSE,LEN(R85)&gt;2),4,IF(S85=TRUE,INDEX($Y$1:$Y$9,MATCH(R85,$X$1:$X$9,0)),""))</f>
        <v/>
      </c>
      <c r="U85">
        <f>IF(R85&lt;&gt;"",IF(Q90="",0,MATCH(TRUE,INDEX(Q90:$Q$1100="",0),0)-1),"")</f>
        <v/>
      </c>
      <c r="V85">
        <f>IF(AND(T85&lt;&gt;"",U85&lt;&gt;""),IF(U85-T85&lt;=0,"Falls Short",U85-T85),"")</f>
        <v/>
      </c>
      <c r="W85">
        <f>IF(AND(R85&lt;&gt;"",V85&lt;&gt;"Falls Short"),20*V85,"")</f>
        <v/>
      </c>
    </row>
    <row r="86" ht="15" customHeight="1" s="21">
      <c r="A86" s="48" t="inlineStr">
        <is>
          <t xml:space="preserve"> </t>
        </is>
      </c>
      <c r="B86" s="41" t="n"/>
      <c r="C86" s="41" t="n"/>
      <c r="D86" s="46" t="n"/>
      <c r="E86" s="41" t="n"/>
      <c r="F86" s="41" t="n"/>
      <c r="G86" s="41" t="n"/>
      <c r="H86" s="41" t="n"/>
      <c r="I86" s="48" t="inlineStr">
        <is>
          <t>03-DEC-25</t>
        </is>
      </c>
      <c r="J86" s="41" t="n"/>
      <c r="K86" s="48" t="inlineStr">
        <is>
          <t>Training C</t>
        </is>
      </c>
      <c r="L86" s="41" t="n"/>
      <c r="M86" s="48" t="inlineStr">
        <is>
          <t xml:space="preserve">CDI </t>
        </is>
      </c>
      <c r="N86" s="41" t="n"/>
      <c r="O86" s="41" t="n"/>
      <c r="Q86">
        <f>LEFT(I86,9)</f>
        <v/>
      </c>
      <c r="R86">
        <f>TRIM(B86)</f>
        <v/>
      </c>
      <c r="S86">
        <f>COUNTIF($X$1:$X$9,R86) &gt; 0</f>
        <v/>
      </c>
      <c r="T86">
        <f>IF(AND(S86=FALSE,LEN(R86)&gt;2),4,IF(S86=TRUE,INDEX($Y$1:$Y$9,MATCH(R86,$X$1:$X$9,0)),""))</f>
        <v/>
      </c>
      <c r="U86">
        <f>IF(R86&lt;&gt;"",IF(Q91="",0,MATCH(TRUE,INDEX(Q91:$Q$1100="",0),0)-1),"")</f>
        <v/>
      </c>
      <c r="V86">
        <f>IF(AND(T86&lt;&gt;"",U86&lt;&gt;""),IF(U86-T86&lt;=0,"Falls Short",U86-T86),"")</f>
        <v/>
      </c>
      <c r="W86">
        <f>IF(AND(R86&lt;&gt;"",V86&lt;&gt;"Falls Short"),20*V86,"")</f>
        <v/>
      </c>
    </row>
    <row r="87" ht="15" customHeight="1" s="21">
      <c r="A87" s="49" t="inlineStr">
        <is>
          <t xml:space="preserve"> </t>
        </is>
      </c>
      <c r="B87" s="41" t="n"/>
      <c r="C87" s="41" t="n"/>
      <c r="D87" s="41" t="n"/>
      <c r="E87" s="41" t="n"/>
      <c r="F87" s="41" t="n"/>
      <c r="G87" s="41" t="n"/>
      <c r="H87" s="41" t="n"/>
      <c r="I87" s="41" t="n"/>
      <c r="J87" s="41" t="n"/>
      <c r="K87" s="41" t="n"/>
      <c r="L87" s="41" t="n"/>
      <c r="M87" s="41" t="n"/>
      <c r="N87" s="41" t="n"/>
      <c r="O87" s="41" t="n"/>
      <c r="Q87">
        <f>LEFT(I87,9)</f>
        <v/>
      </c>
      <c r="R87">
        <f>TRIM(B87)</f>
        <v/>
      </c>
      <c r="S87">
        <f>COUNTIF($X$1:$X$9,R87) &gt; 0</f>
        <v/>
      </c>
      <c r="T87">
        <f>IF(AND(S87=FALSE,LEN(R87)&gt;2),4,IF(S87=TRUE,INDEX($Y$1:$Y$9,MATCH(R87,$X$1:$X$9,0)),""))</f>
        <v/>
      </c>
      <c r="U87">
        <f>IF(R87&lt;&gt;"",IF(Q92="",0,MATCH(TRUE,INDEX(Q92:$Q$1100="",0),0)-1),"")</f>
        <v/>
      </c>
      <c r="V87">
        <f>IF(AND(T87&lt;&gt;"",U87&lt;&gt;""),IF(U87-T87&lt;=0,"Falls Short",U87-T87),"")</f>
        <v/>
      </c>
      <c r="W87">
        <f>IF(AND(R87&lt;&gt;"",V87&lt;&gt;"Falls Short"),20*V87,"")</f>
        <v/>
      </c>
    </row>
    <row r="88" ht="15" customHeight="1" s="21">
      <c r="A88" s="49" t="inlineStr">
        <is>
          <t xml:space="preserve"> </t>
        </is>
      </c>
      <c r="B88" s="41" t="n"/>
      <c r="C88" s="41" t="n"/>
      <c r="D88" s="41" t="n"/>
      <c r="E88" s="41" t="n"/>
      <c r="F88" s="41" t="n"/>
      <c r="G88" s="41" t="n"/>
      <c r="H88" s="41" t="n"/>
      <c r="I88" s="41" t="n"/>
      <c r="J88" s="41" t="n"/>
      <c r="K88" s="41" t="n"/>
      <c r="L88" s="41" t="n"/>
      <c r="M88" s="41" t="n"/>
      <c r="N88" s="41" t="n"/>
      <c r="O88" s="41" t="n"/>
      <c r="Q88">
        <f>LEFT(I88,9)</f>
        <v/>
      </c>
      <c r="R88">
        <f>TRIM(B88)</f>
        <v/>
      </c>
      <c r="S88">
        <f>COUNTIF($X$1:$X$9,R88) &gt; 0</f>
        <v/>
      </c>
      <c r="T88">
        <f>IF(AND(S88=FALSE,LEN(R88)&gt;2),4,IF(S88=TRUE,INDEX($Y$1:$Y$9,MATCH(R88,$X$1:$X$9,0)),""))</f>
        <v/>
      </c>
      <c r="U88">
        <f>IF(R88&lt;&gt;"",IF(Q93="",0,MATCH(TRUE,INDEX(Q93:$Q$1100="",0),0)-1),"")</f>
        <v/>
      </c>
      <c r="V88">
        <f>IF(AND(T88&lt;&gt;"",U88&lt;&gt;""),IF(U88-T88&lt;=0,"Falls Short",U88-T88),"")</f>
        <v/>
      </c>
      <c r="W88">
        <f>IF(AND(R88&lt;&gt;"",V88&lt;&gt;"Falls Short"),20*V88,"")</f>
        <v/>
      </c>
    </row>
    <row r="89" ht="15" customHeight="1" s="21">
      <c r="A89" s="43" t="inlineStr">
        <is>
          <t xml:space="preserve"> </t>
        </is>
      </c>
      <c r="B89" s="41" t="n"/>
      <c r="C89" s="41" t="n"/>
      <c r="D89" s="41" t="n"/>
      <c r="E89" s="41" t="n"/>
      <c r="F89" s="41" t="n"/>
      <c r="G89" s="41" t="n"/>
      <c r="H89" s="41" t="n"/>
      <c r="I89" s="41" t="n"/>
      <c r="J89" s="41" t="n"/>
      <c r="K89" s="41" t="n"/>
      <c r="L89" s="41" t="n"/>
      <c r="M89" s="41" t="n"/>
      <c r="N89" s="41" t="n"/>
      <c r="O89" s="41" t="n"/>
      <c r="Q89">
        <f>LEFT(I89,9)</f>
        <v/>
      </c>
      <c r="R89">
        <f>TRIM(B89)</f>
        <v/>
      </c>
      <c r="S89">
        <f>COUNTIF($X$1:$X$9,R89) &gt; 0</f>
        <v/>
      </c>
      <c r="T89">
        <f>IF(AND(S89=FALSE,LEN(R89)&gt;2),4,IF(S89=TRUE,INDEX($Y$1:$Y$9,MATCH(R89,$X$1:$X$9,0)),""))</f>
        <v/>
      </c>
      <c r="U89">
        <f>IF(R89&lt;&gt;"",IF(Q94="",0,MATCH(TRUE,INDEX(Q94:$Q$1100="",0),0)-1),"")</f>
        <v/>
      </c>
      <c r="V89">
        <f>IF(AND(T89&lt;&gt;"",U89&lt;&gt;""),IF(U89-T89&lt;=0,"Falls Short",U89-T89),"")</f>
        <v/>
      </c>
      <c r="W89">
        <f>IF(AND(R89&lt;&gt;"",V89&lt;&gt;"Falls Short"),20*V89,"")</f>
        <v/>
      </c>
    </row>
    <row r="90" ht="15" customHeight="1" s="21">
      <c r="A90" s="49" t="inlineStr">
        <is>
          <t xml:space="preserve"> </t>
        </is>
      </c>
      <c r="B90" s="41" t="n"/>
      <c r="C90" s="41" t="n"/>
      <c r="D90" s="41" t="n"/>
      <c r="E90" s="41" t="n"/>
      <c r="F90" s="41" t="n"/>
      <c r="G90" s="41" t="n"/>
      <c r="H90" s="41" t="n"/>
      <c r="I90" s="41" t="n"/>
      <c r="J90" s="41" t="n"/>
      <c r="K90" s="41" t="n"/>
      <c r="L90" s="41" t="n"/>
      <c r="M90" s="41" t="n"/>
      <c r="N90" s="41" t="n"/>
      <c r="O90" s="41" t="n"/>
      <c r="Q90">
        <f>LEFT(I90,9)</f>
        <v/>
      </c>
      <c r="R90">
        <f>TRIM(B90)</f>
        <v/>
      </c>
      <c r="S90">
        <f>COUNTIF($X$1:$X$9,R90) &gt; 0</f>
        <v/>
      </c>
      <c r="T90">
        <f>IF(AND(S90=FALSE,LEN(R90)&gt;2),4,IF(S90=TRUE,INDEX($Y$1:$Y$9,MATCH(R90,$X$1:$X$9,0)),""))</f>
        <v/>
      </c>
      <c r="U90">
        <f>IF(R90&lt;&gt;"",IF(Q95="",0,MATCH(TRUE,INDEX(Q95:$Q$1100="",0),0)-1),"")</f>
        <v/>
      </c>
      <c r="V90">
        <f>IF(AND(T90&lt;&gt;"",U90&lt;&gt;""),IF(U90-T90&lt;=0,"Falls Short",U90-T90),"")</f>
        <v/>
      </c>
      <c r="W90">
        <f>IF(AND(R90&lt;&gt;"",V90&lt;&gt;"Falls Short"),20*V90,"")</f>
        <v/>
      </c>
    </row>
    <row r="91" ht="15" customHeight="1" s="21">
      <c r="A91" s="49" t="inlineStr">
        <is>
          <t xml:space="preserve"> </t>
        </is>
      </c>
      <c r="B91" s="41" t="n"/>
      <c r="C91" s="41" t="n"/>
      <c r="D91" s="41" t="n"/>
      <c r="E91" s="41" t="n"/>
      <c r="F91" s="41" t="n"/>
      <c r="G91" s="41" t="n"/>
      <c r="H91" s="41" t="n"/>
      <c r="I91" s="41" t="n"/>
      <c r="J91" s="41" t="n"/>
      <c r="K91" s="41" t="n"/>
      <c r="L91" s="41" t="n"/>
      <c r="M91" s="41" t="n"/>
      <c r="N91" s="41" t="n"/>
      <c r="O91" s="41" t="n"/>
      <c r="Q91">
        <f>LEFT(I91,9)</f>
        <v/>
      </c>
      <c r="R91">
        <f>TRIM(B91)</f>
        <v/>
      </c>
      <c r="S91">
        <f>COUNTIF($X$1:$X$9,R91) &gt; 0</f>
        <v/>
      </c>
      <c r="T91">
        <f>IF(AND(S91=FALSE,LEN(R91)&gt;2),4,IF(S91=TRUE,INDEX($Y$1:$Y$9,MATCH(R91,$X$1:$X$9,0)),""))</f>
        <v/>
      </c>
      <c r="U91">
        <f>IF(R91&lt;&gt;"",IF(Q96="",0,MATCH(TRUE,INDEX(Q96:$Q$1100="",0),0)-1),"")</f>
        <v/>
      </c>
      <c r="V91">
        <f>IF(AND(T91&lt;&gt;"",U91&lt;&gt;""),IF(U91-T91&lt;=0,"Falls Short",U91-T91),"")</f>
        <v/>
      </c>
      <c r="W91">
        <f>IF(AND(R91&lt;&gt;"",V91&lt;&gt;"Falls Short"),20*V91,"")</f>
        <v/>
      </c>
    </row>
    <row r="92" ht="15" customHeight="1" s="21">
      <c r="A92" s="43" t="inlineStr">
        <is>
          <t xml:space="preserve"> </t>
        </is>
      </c>
      <c r="B92" s="41" t="n"/>
      <c r="C92" s="41" t="n"/>
      <c r="D92" s="41" t="n"/>
      <c r="E92" s="41" t="n"/>
      <c r="F92" s="41" t="n"/>
      <c r="G92" s="41" t="n"/>
      <c r="H92" s="41" t="n"/>
      <c r="I92" s="41" t="n"/>
      <c r="J92" s="41" t="n"/>
      <c r="K92" s="41" t="n"/>
      <c r="L92" s="41" t="n"/>
      <c r="M92" s="41" t="n"/>
      <c r="N92" s="41" t="n"/>
      <c r="O92" s="41" t="n"/>
      <c r="Q92">
        <f>LEFT(I92,9)</f>
        <v/>
      </c>
      <c r="R92">
        <f>TRIM(B92)</f>
        <v/>
      </c>
      <c r="S92">
        <f>COUNTIF($X$1:$X$9,R92) &gt; 0</f>
        <v/>
      </c>
      <c r="T92">
        <f>IF(AND(S92=FALSE,LEN(R92)&gt;2),4,IF(S92=TRUE,INDEX($Y$1:$Y$9,MATCH(R92,$X$1:$X$9,0)),""))</f>
        <v/>
      </c>
      <c r="U92">
        <f>IF(R92&lt;&gt;"",IF(Q97="",0,MATCH(TRUE,INDEX(Q97:$Q$1100="",0),0)-1),"")</f>
        <v/>
      </c>
      <c r="V92">
        <f>IF(AND(T92&lt;&gt;"",U92&lt;&gt;""),IF(U92-T92&lt;=0,"Falls Short",U92-T92),"")</f>
        <v/>
      </c>
      <c r="W92">
        <f>IF(AND(R92&lt;&gt;"",V92&lt;&gt;"Falls Short"),20*V92,"")</f>
        <v/>
      </c>
    </row>
    <row r="93" ht="15" customHeight="1" s="21">
      <c r="A93" s="44" t="n"/>
      <c r="B93" s="44" t="n"/>
      <c r="C93" s="44" t="n"/>
      <c r="D93" s="41" t="n"/>
      <c r="E93" s="41" t="n"/>
      <c r="F93" s="41" t="n"/>
      <c r="G93" s="44" t="n"/>
      <c r="H93" s="45" t="inlineStr">
        <is>
          <t>Month</t>
        </is>
      </c>
      <c r="I93" s="41" t="n"/>
      <c r="J93" s="45" t="inlineStr">
        <is>
          <t>Days</t>
        </is>
      </c>
      <c r="K93" s="41" t="n"/>
      <c r="L93" s="41" t="n"/>
      <c r="M93" s="45" t="inlineStr">
        <is>
          <t>Total</t>
        </is>
      </c>
      <c r="N93" s="41" t="n"/>
      <c r="O93" s="41" t="n"/>
      <c r="Q93">
        <f>LEFT(I93,9)</f>
        <v/>
      </c>
      <c r="R93">
        <f>TRIM(B93)</f>
        <v/>
      </c>
      <c r="S93">
        <f>COUNTIF($X$1:$X$9,R93) &gt; 0</f>
        <v/>
      </c>
      <c r="T93">
        <f>IF(AND(S93=FALSE,LEN(R93)&gt;2),4,IF(S93=TRUE,INDEX($Y$1:$Y$9,MATCH(R93,$X$1:$X$9,0)),""))</f>
        <v/>
      </c>
      <c r="U93">
        <f>IF(R93&lt;&gt;"",IF(Q98="",0,MATCH(TRUE,INDEX(Q98:$Q$1100="",0),0)-1),"")</f>
        <v/>
      </c>
      <c r="V93">
        <f>IF(AND(T93&lt;&gt;"",U93&lt;&gt;""),IF(U93-T93&lt;=0,"Falls Short",U93-T93),"")</f>
        <v/>
      </c>
      <c r="W93">
        <f>IF(AND(R93&lt;&gt;"",V93&lt;&gt;"Falls Short"),20*V93,"")</f>
        <v/>
      </c>
    </row>
    <row r="94" ht="15" customHeight="1" s="21">
      <c r="A94" s="46" t="inlineStr">
        <is>
          <t>Job Role X</t>
        </is>
      </c>
      <c r="B94" s="42" t="inlineStr">
        <is>
          <t>ABO</t>
        </is>
      </c>
      <c r="C94" s="42" t="inlineStr">
        <is>
          <t xml:space="preserve">   ORION ETA</t>
        </is>
      </c>
      <c r="D94" s="41" t="n"/>
      <c r="E94" s="41" t="n"/>
      <c r="F94" s="41" t="n"/>
      <c r="G94" s="42" t="inlineStr">
        <is>
          <t xml:space="preserve">10052        </t>
        </is>
      </c>
      <c r="H94" s="47" t="n"/>
      <c r="I94" s="41" t="n"/>
      <c r="J94" s="47" t="n"/>
      <c r="K94" s="41" t="n"/>
      <c r="L94" s="41" t="n"/>
      <c r="M94" s="47" t="n"/>
      <c r="N94" s="41" t="n"/>
      <c r="O94" s="41" t="n"/>
      <c r="Q94">
        <f>LEFT(I94,9)</f>
        <v/>
      </c>
      <c r="R94">
        <f>TRIM(B94)</f>
        <v/>
      </c>
      <c r="S94">
        <f>COUNTIF($X$1:$X$9,R94) &gt; 0</f>
        <v/>
      </c>
      <c r="T94">
        <f>IF(AND(S94=FALSE,LEN(R94)&gt;2),4,IF(S94=TRUE,INDEX($Y$1:$Y$9,MATCH(R94,$X$1:$X$9,0)),""))</f>
        <v/>
      </c>
      <c r="U94">
        <f>IF(R94&lt;&gt;"",IF(Q99="",0,MATCH(TRUE,INDEX(Q99:$Q$1100="",0),0)-1),"")</f>
        <v/>
      </c>
      <c r="V94">
        <f>IF(AND(T94&lt;&gt;"",U94&lt;&gt;""),IF(U94-T94&lt;=0,"Falls Short",U94-T94),"")</f>
        <v/>
      </c>
      <c r="W94">
        <f>IF(AND(R94&lt;&gt;"",V94&lt;&gt;"Falls Short"),20*V94,"")</f>
        <v/>
      </c>
    </row>
    <row r="95" ht="15" customHeight="1" s="21">
      <c r="A95" s="42" t="n"/>
      <c r="B95" s="46" t="n"/>
      <c r="C95" s="46" t="n"/>
      <c r="D95" s="41" t="n"/>
      <c r="E95" s="41" t="n"/>
      <c r="F95" s="41" t="n"/>
      <c r="G95" s="46" t="n"/>
      <c r="H95" s="46" t="n"/>
      <c r="I95" s="41" t="n"/>
      <c r="J95" s="46" t="n"/>
      <c r="K95" s="41" t="n"/>
      <c r="L95" s="41" t="n"/>
      <c r="M95" s="48" t="inlineStr">
        <is>
          <t>3</t>
        </is>
      </c>
      <c r="N95" s="41" t="n"/>
      <c r="O95" s="41" t="n"/>
      <c r="Q95">
        <f>LEFT(I95,9)</f>
        <v/>
      </c>
      <c r="R95">
        <f>TRIM(B95)</f>
        <v/>
      </c>
      <c r="S95">
        <f>COUNTIF($X$1:$X$9,R95) &gt; 0</f>
        <v/>
      </c>
      <c r="T95">
        <f>IF(AND(S95=FALSE,LEN(R95)&gt;2),4,IF(S95=TRUE,INDEX($Y$1:$Y$9,MATCH(R95,$X$1:$X$9,0)),""))</f>
        <v/>
      </c>
      <c r="U95">
        <f>IF(R95&lt;&gt;"",IF(Q100="",0,MATCH(TRUE,INDEX(Q100:$Q$1100="",0),0)-1),"")</f>
        <v/>
      </c>
      <c r="V95">
        <f>IF(AND(T95&lt;&gt;"",U95&lt;&gt;""),IF(U95-T95&lt;=0,"Falls Short",U95-T95),"")</f>
        <v/>
      </c>
      <c r="W95">
        <f>IF(AND(R95&lt;&gt;"",V95&lt;&gt;"Falls Short"),20*V95,"")</f>
        <v/>
      </c>
    </row>
    <row r="96" ht="21.8" customHeight="1" s="21">
      <c r="A96" s="43" t="inlineStr">
        <is>
          <t xml:space="preserve"> </t>
        </is>
      </c>
      <c r="B96" s="41" t="n"/>
      <c r="C96" s="41" t="n"/>
      <c r="D96" s="41" t="n"/>
      <c r="E96" s="41" t="n"/>
      <c r="F96" s="41" t="n"/>
      <c r="G96" s="41" t="n"/>
      <c r="H96" s="41" t="n"/>
      <c r="I96" s="41" t="n"/>
      <c r="J96" s="41" t="n"/>
      <c r="K96" s="41" t="n"/>
      <c r="L96" s="41" t="n"/>
      <c r="M96" s="41" t="n"/>
      <c r="N96" s="41" t="n"/>
      <c r="O96" s="41" t="n"/>
      <c r="Q96">
        <f>LEFT(I96,9)</f>
        <v/>
      </c>
      <c r="R96">
        <f>TRIM(B96)</f>
        <v/>
      </c>
      <c r="S96">
        <f>COUNTIF($X$1:$X$9,R96) &gt; 0</f>
        <v/>
      </c>
      <c r="T96">
        <f>IF(AND(S96=FALSE,LEN(R96)&gt;2),4,IF(S96=TRUE,INDEX($Y$1:$Y$9,MATCH(R96,$X$1:$X$9,0)),""))</f>
        <v/>
      </c>
      <c r="U96">
        <f>IF(R96&lt;&gt;"",IF(Q101="",0,MATCH(TRUE,INDEX(Q101:$Q$1100="",0),0)-1),"")</f>
        <v/>
      </c>
      <c r="V96">
        <f>IF(AND(T96&lt;&gt;"",U96&lt;&gt;""),IF(U96-T96&lt;=0,"Falls Short",U96-T96),"")</f>
        <v/>
      </c>
      <c r="W96">
        <f>IF(AND(R96&lt;&gt;"",V96&lt;&gt;"Falls Short"),20*V96,"")</f>
        <v/>
      </c>
    </row>
    <row r="97" ht="15" customHeight="1" s="21">
      <c r="A97" s="46" t="n"/>
      <c r="B97" s="41" t="n"/>
      <c r="C97" s="41" t="n"/>
      <c r="D97" s="41" t="n"/>
      <c r="E97" s="46" t="n"/>
      <c r="F97" s="41" t="n"/>
      <c r="G97" s="41" t="n"/>
      <c r="H97" s="48" t="inlineStr">
        <is>
          <t>12 / 2025</t>
        </is>
      </c>
      <c r="I97" s="41" t="n"/>
      <c r="J97" s="48" t="inlineStr">
        <is>
          <t>3</t>
        </is>
      </c>
      <c r="K97" s="46" t="n"/>
      <c r="L97" s="41" t="n"/>
      <c r="M97" s="41" t="n"/>
      <c r="N97" s="41" t="n"/>
      <c r="O97" s="41" t="n"/>
      <c r="Q97">
        <f>LEFT(I97,9)</f>
        <v/>
      </c>
      <c r="R97">
        <f>TRIM(B97)</f>
        <v/>
      </c>
      <c r="S97">
        <f>COUNTIF($X$1:$X$9,R97) &gt; 0</f>
        <v/>
      </c>
      <c r="T97">
        <f>IF(AND(S97=FALSE,LEN(R97)&gt;2),4,IF(S97=TRUE,INDEX($Y$1:$Y$9,MATCH(R97,$X$1:$X$9,0)),""))</f>
        <v/>
      </c>
      <c r="U97">
        <f>IF(R97&lt;&gt;"",IF(Q102="",0,MATCH(TRUE,INDEX(Q102:$Q$1100="",0),0)-1),"")</f>
        <v/>
      </c>
      <c r="V97">
        <f>IF(AND(T97&lt;&gt;"",U97&lt;&gt;""),IF(U97-T97&lt;=0,"Falls Short",U97-T97),"")</f>
        <v/>
      </c>
      <c r="W97">
        <f>IF(AND(R97&lt;&gt;"",V97&lt;&gt;"Falls Short"),20*V97,"")</f>
        <v/>
      </c>
    </row>
    <row r="98" ht="15" customHeight="1" s="21">
      <c r="A98" s="43" t="inlineStr">
        <is>
          <t xml:space="preserve"> </t>
        </is>
      </c>
      <c r="B98" s="41" t="n"/>
      <c r="C98" s="41" t="n"/>
      <c r="D98" s="41" t="n"/>
      <c r="E98" s="41" t="n"/>
      <c r="F98" s="41" t="n"/>
      <c r="G98" s="41" t="n"/>
      <c r="H98" s="41" t="n"/>
      <c r="I98" s="41" t="n"/>
      <c r="J98" s="41" t="n"/>
      <c r="K98" s="41" t="n"/>
      <c r="L98" s="41" t="n"/>
      <c r="M98" s="41" t="n"/>
      <c r="N98" s="41" t="n"/>
      <c r="O98" s="41" t="n"/>
      <c r="Q98">
        <f>LEFT(I98,9)</f>
        <v/>
      </c>
      <c r="R98">
        <f>TRIM(B98)</f>
        <v/>
      </c>
      <c r="S98">
        <f>COUNTIF($X$1:$X$9,R98) &gt; 0</f>
        <v/>
      </c>
      <c r="T98">
        <f>IF(AND(S98=FALSE,LEN(R98)&gt;2),4,IF(S98=TRUE,INDEX($Y$1:$Y$9,MATCH(R98,$X$1:$X$9,0)),""))</f>
        <v/>
      </c>
      <c r="U98">
        <f>IF(R98&lt;&gt;"",IF(Q103="",0,MATCH(TRUE,INDEX(Q103:$Q$1100="",0),0)-1),"")</f>
        <v/>
      </c>
      <c r="V98">
        <f>IF(AND(T98&lt;&gt;"",U98&lt;&gt;""),IF(U98-T98&lt;=0,"Falls Short",U98-T98),"")</f>
        <v/>
      </c>
      <c r="W98">
        <f>IF(AND(R98&lt;&gt;"",V98&lt;&gt;"Falls Short"),20*V98,"")</f>
        <v/>
      </c>
    </row>
    <row r="99" ht="15" customHeight="1" s="21">
      <c r="A99" s="48" t="inlineStr">
        <is>
          <t xml:space="preserve"> </t>
        </is>
      </c>
      <c r="B99" s="41" t="n"/>
      <c r="C99" s="41" t="n"/>
      <c r="D99" s="46" t="n"/>
      <c r="E99" s="41" t="n"/>
      <c r="F99" s="41" t="n"/>
      <c r="G99" s="41" t="n"/>
      <c r="H99" s="41" t="n"/>
      <c r="I99" s="48" t="inlineStr">
        <is>
          <t>10-DEC-25</t>
        </is>
      </c>
      <c r="J99" s="41" t="n"/>
      <c r="K99" s="48" t="inlineStr">
        <is>
          <t>Training D</t>
        </is>
      </c>
      <c r="L99" s="41" t="n"/>
      <c r="M99" s="48" t="inlineStr">
        <is>
          <t xml:space="preserve">CDI </t>
        </is>
      </c>
      <c r="N99" s="41" t="n"/>
      <c r="O99" s="41" t="n"/>
      <c r="Q99">
        <f>LEFT(I99,9)</f>
        <v/>
      </c>
      <c r="R99">
        <f>TRIM(B99)</f>
        <v/>
      </c>
      <c r="S99">
        <f>COUNTIF($X$1:$X$9,R99) &gt; 0</f>
        <v/>
      </c>
      <c r="T99">
        <f>IF(AND(S99=FALSE,LEN(R99)&gt;2),4,IF(S99=TRUE,INDEX($Y$1:$Y$9,MATCH(R99,$X$1:$X$9,0)),""))</f>
        <v/>
      </c>
      <c r="U99">
        <f>IF(R99&lt;&gt;"",IF(Q104="",0,MATCH(TRUE,INDEX(Q104:$Q$1100="",0),0)-1),"")</f>
        <v/>
      </c>
      <c r="V99">
        <f>IF(AND(T99&lt;&gt;"",U99&lt;&gt;""),IF(U99-T99&lt;=0,"Falls Short",U99-T99),"")</f>
        <v/>
      </c>
      <c r="W99">
        <f>IF(AND(R99&lt;&gt;"",V99&lt;&gt;"Falls Short"),20*V99,"")</f>
        <v/>
      </c>
    </row>
    <row r="100" ht="15" customHeight="1" s="21">
      <c r="A100" s="48" t="inlineStr">
        <is>
          <t xml:space="preserve"> </t>
        </is>
      </c>
      <c r="B100" s="41" t="n"/>
      <c r="C100" s="41" t="n"/>
      <c r="D100" s="46" t="n"/>
      <c r="E100" s="41" t="n"/>
      <c r="F100" s="41" t="n"/>
      <c r="G100" s="41" t="n"/>
      <c r="H100" s="41" t="n"/>
      <c r="I100" s="48" t="inlineStr">
        <is>
          <t>11-DEC-25</t>
        </is>
      </c>
      <c r="J100" s="41" t="n"/>
      <c r="K100" s="48" t="inlineStr">
        <is>
          <t>Training D</t>
        </is>
      </c>
      <c r="L100" s="41" t="n"/>
      <c r="M100" s="48" t="inlineStr">
        <is>
          <t xml:space="preserve">CDI </t>
        </is>
      </c>
      <c r="N100" s="41" t="n"/>
      <c r="O100" s="41" t="n"/>
      <c r="Q100">
        <f>LEFT(I100,9)</f>
        <v/>
      </c>
      <c r="R100">
        <f>TRIM(B100)</f>
        <v/>
      </c>
      <c r="S100">
        <f>COUNTIF($X$1:$X$9,R100) &gt; 0</f>
        <v/>
      </c>
      <c r="T100">
        <f>IF(AND(S100=FALSE,LEN(R100)&gt;2),4,IF(S100=TRUE,INDEX($Y$1:$Y$9,MATCH(R100,$X$1:$X$9,0)),""))</f>
        <v/>
      </c>
      <c r="U100">
        <f>IF(R100&lt;&gt;"",IF(Q105="",0,MATCH(TRUE,INDEX(Q105:$Q$1100="",0),0)-1),"")</f>
        <v/>
      </c>
      <c r="V100">
        <f>IF(AND(T100&lt;&gt;"",U100&lt;&gt;""),IF(U100-T100&lt;=0,"Falls Short",U100-T100),"")</f>
        <v/>
      </c>
      <c r="W100">
        <f>IF(AND(R100&lt;&gt;"",V100&lt;&gt;"Falls Short"),20*V100,"")</f>
        <v/>
      </c>
    </row>
    <row r="101" ht="15" customHeight="1" s="21">
      <c r="A101" s="48" t="inlineStr">
        <is>
          <t xml:space="preserve"> </t>
        </is>
      </c>
      <c r="B101" s="41" t="n"/>
      <c r="C101" s="41" t="n"/>
      <c r="D101" s="46" t="n"/>
      <c r="E101" s="41" t="n"/>
      <c r="F101" s="41" t="n"/>
      <c r="G101" s="41" t="n"/>
      <c r="H101" s="41" t="n"/>
      <c r="I101" s="48" t="inlineStr">
        <is>
          <t>30-DEC-25</t>
        </is>
      </c>
      <c r="J101" s="41" t="n"/>
      <c r="K101" s="48" t="inlineStr">
        <is>
          <t>Training G</t>
        </is>
      </c>
      <c r="L101" s="41" t="n"/>
      <c r="M101" s="48" t="inlineStr">
        <is>
          <t xml:space="preserve">CDI </t>
        </is>
      </c>
      <c r="N101" s="41" t="n"/>
      <c r="O101" s="41" t="n"/>
      <c r="Q101">
        <f>LEFT(I101,9)</f>
        <v/>
      </c>
      <c r="R101">
        <f>TRIM(B101)</f>
        <v/>
      </c>
      <c r="S101">
        <f>COUNTIF($X$1:$X$9,R101) &gt; 0</f>
        <v/>
      </c>
      <c r="T101">
        <f>IF(AND(S101=FALSE,LEN(R101)&gt;2),4,IF(S101=TRUE,INDEX($Y$1:$Y$9,MATCH(R101,$X$1:$X$9,0)),""))</f>
        <v/>
      </c>
      <c r="U101">
        <f>IF(R101&lt;&gt;"",IF(Q106="",0,MATCH(TRUE,INDEX(Q106:$Q$1100="",0),0)-1),"")</f>
        <v/>
      </c>
      <c r="V101">
        <f>IF(AND(T101&lt;&gt;"",U101&lt;&gt;""),IF(U101-T101&lt;=0,"Falls Short",U101-T101),"")</f>
        <v/>
      </c>
      <c r="W101">
        <f>IF(AND(R101&lt;&gt;"",V101&lt;&gt;"Falls Short"),20*V101,"")</f>
        <v/>
      </c>
    </row>
    <row r="102" ht="15" customHeight="1" s="21">
      <c r="A102" s="49" t="inlineStr">
        <is>
          <t xml:space="preserve"> </t>
        </is>
      </c>
      <c r="B102" s="41" t="n"/>
      <c r="C102" s="41" t="n"/>
      <c r="D102" s="41" t="n"/>
      <c r="E102" s="41" t="n"/>
      <c r="F102" s="41" t="n"/>
      <c r="G102" s="41" t="n"/>
      <c r="H102" s="41" t="n"/>
      <c r="I102" s="41" t="n"/>
      <c r="J102" s="41" t="n"/>
      <c r="K102" s="41" t="n"/>
      <c r="L102" s="41" t="n"/>
      <c r="M102" s="41" t="n"/>
      <c r="N102" s="41" t="n"/>
      <c r="O102" s="41" t="n"/>
      <c r="Q102">
        <f>LEFT(I102,9)</f>
        <v/>
      </c>
      <c r="R102">
        <f>TRIM(B102)</f>
        <v/>
      </c>
      <c r="S102">
        <f>COUNTIF($X$1:$X$9,R102) &gt; 0</f>
        <v/>
      </c>
      <c r="T102">
        <f>IF(AND(S102=FALSE,LEN(R102)&gt;2),4,IF(S102=TRUE,INDEX($Y$1:$Y$9,MATCH(R102,$X$1:$X$9,0)),""))</f>
        <v/>
      </c>
      <c r="U102">
        <f>IF(R102&lt;&gt;"",IF(Q107="",0,MATCH(TRUE,INDEX(Q107:$Q$1100="",0),0)-1),"")</f>
        <v/>
      </c>
      <c r="V102">
        <f>IF(AND(T102&lt;&gt;"",U102&lt;&gt;""),IF(U102-T102&lt;=0,"Falls Short",U102-T102),"")</f>
        <v/>
      </c>
      <c r="W102">
        <f>IF(AND(R102&lt;&gt;"",V102&lt;&gt;"Falls Short"),20*V102,"")</f>
        <v/>
      </c>
    </row>
    <row r="103" ht="15" customHeight="1" s="21">
      <c r="A103" s="49" t="inlineStr">
        <is>
          <t xml:space="preserve"> </t>
        </is>
      </c>
      <c r="B103" s="41" t="n"/>
      <c r="C103" s="41" t="n"/>
      <c r="D103" s="41" t="n"/>
      <c r="E103" s="41" t="n"/>
      <c r="F103" s="41" t="n"/>
      <c r="G103" s="41" t="n"/>
      <c r="H103" s="41" t="n"/>
      <c r="I103" s="41" t="n"/>
      <c r="J103" s="41" t="n"/>
      <c r="K103" s="41" t="n"/>
      <c r="L103" s="41" t="n"/>
      <c r="M103" s="41" t="n"/>
      <c r="N103" s="41" t="n"/>
      <c r="O103" s="41" t="n"/>
      <c r="Q103">
        <f>LEFT(I103,9)</f>
        <v/>
      </c>
      <c r="R103">
        <f>TRIM(B103)</f>
        <v/>
      </c>
      <c r="S103">
        <f>COUNTIF($X$1:$X$9,R103) &gt; 0</f>
        <v/>
      </c>
      <c r="T103">
        <f>IF(AND(S103=FALSE,LEN(R103)&gt;2),4,IF(S103=TRUE,INDEX($Y$1:$Y$9,MATCH(R103,$X$1:$X$9,0)),""))</f>
        <v/>
      </c>
      <c r="U103">
        <f>IF(R103&lt;&gt;"",IF(Q108="",0,MATCH(TRUE,INDEX(Q108:$Q$1100="",0),0)-1),"")</f>
        <v/>
      </c>
      <c r="V103">
        <f>IF(AND(T103&lt;&gt;"",U103&lt;&gt;""),IF(U103-T103&lt;=0,"Falls Short",U103-T103),"")</f>
        <v/>
      </c>
      <c r="W103">
        <f>IF(AND(R103&lt;&gt;"",V103&lt;&gt;"Falls Short"),20*V103,"")</f>
        <v/>
      </c>
    </row>
    <row r="104" ht="15" customHeight="1" s="21">
      <c r="A104" s="43" t="inlineStr">
        <is>
          <t xml:space="preserve"> </t>
        </is>
      </c>
      <c r="B104" s="41" t="n"/>
      <c r="C104" s="41" t="n"/>
      <c r="D104" s="41" t="n"/>
      <c r="E104" s="41" t="n"/>
      <c r="F104" s="41" t="n"/>
      <c r="G104" s="41" t="n"/>
      <c r="H104" s="41" t="n"/>
      <c r="I104" s="41" t="n"/>
      <c r="J104" s="41" t="n"/>
      <c r="K104" s="41" t="n"/>
      <c r="L104" s="41" t="n"/>
      <c r="M104" s="41" t="n"/>
      <c r="N104" s="41" t="n"/>
      <c r="O104" s="41" t="n"/>
      <c r="Q104">
        <f>LEFT(I104,9)</f>
        <v/>
      </c>
      <c r="R104">
        <f>TRIM(B104)</f>
        <v/>
      </c>
      <c r="S104">
        <f>COUNTIF($X$1:$X$9,R104) &gt; 0</f>
        <v/>
      </c>
      <c r="T104">
        <f>IF(AND(S104=FALSE,LEN(R104)&gt;2),4,IF(S104=TRUE,INDEX($Y$1:$Y$9,MATCH(R104,$X$1:$X$9,0)),""))</f>
        <v/>
      </c>
      <c r="U104">
        <f>IF(R104&lt;&gt;"",IF(Q109="",0,MATCH(TRUE,INDEX(Q109:$Q$1100="",0),0)-1),"")</f>
        <v/>
      </c>
      <c r="V104">
        <f>IF(AND(T104&lt;&gt;"",U104&lt;&gt;""),IF(U104-T104&lt;=0,"Falls Short",U104-T104),"")</f>
        <v/>
      </c>
      <c r="W104">
        <f>IF(AND(R104&lt;&gt;"",V104&lt;&gt;"Falls Short"),20*V104,"")</f>
        <v/>
      </c>
    </row>
    <row r="105" ht="15" customHeight="1" s="21">
      <c r="A105" s="44" t="n"/>
      <c r="B105" s="44" t="n"/>
      <c r="C105" s="44" t="n"/>
      <c r="D105" s="41" t="n"/>
      <c r="E105" s="41" t="n"/>
      <c r="F105" s="41" t="n"/>
      <c r="G105" s="44" t="n"/>
      <c r="H105" s="45" t="inlineStr">
        <is>
          <t>Month</t>
        </is>
      </c>
      <c r="I105" s="41" t="n"/>
      <c r="J105" s="45" t="inlineStr">
        <is>
          <t>Days</t>
        </is>
      </c>
      <c r="K105" s="41" t="n"/>
      <c r="L105" s="41" t="n"/>
      <c r="M105" s="45" t="inlineStr">
        <is>
          <t>Total</t>
        </is>
      </c>
      <c r="N105" s="41" t="n"/>
      <c r="O105" s="41" t="n"/>
      <c r="Q105">
        <f>LEFT(I105,9)</f>
        <v/>
      </c>
      <c r="R105">
        <f>TRIM(B105)</f>
        <v/>
      </c>
      <c r="S105">
        <f>COUNTIF($X$1:$X$9,R105) &gt; 0</f>
        <v/>
      </c>
      <c r="T105">
        <f>IF(AND(S105=FALSE,LEN(R105)&gt;2),4,IF(S105=TRUE,INDEX($Y$1:$Y$9,MATCH(R105,$X$1:$X$9,0)),""))</f>
        <v/>
      </c>
      <c r="U105">
        <f>IF(R105&lt;&gt;"",IF(Q110="",0,MATCH(TRUE,INDEX(Q110:$Q$1100="",0),0)-1),"")</f>
        <v/>
      </c>
      <c r="V105">
        <f>IF(AND(T105&lt;&gt;"",U105&lt;&gt;""),IF(U105-T105&lt;=0,"Falls Short",U105-T105),"")</f>
        <v/>
      </c>
      <c r="W105">
        <f>IF(AND(R105&lt;&gt;"",V105&lt;&gt;"Falls Short"),20*V105,"")</f>
        <v/>
      </c>
    </row>
    <row r="106" ht="15" customHeight="1" s="21">
      <c r="A106" s="46" t="inlineStr">
        <is>
          <t>Job Role X</t>
        </is>
      </c>
      <c r="B106" s="42" t="inlineStr">
        <is>
          <t>ACE</t>
        </is>
      </c>
      <c r="C106" s="42" t="inlineStr">
        <is>
          <t xml:space="preserve">   VEGA IOTA</t>
        </is>
      </c>
      <c r="D106" s="41" t="n"/>
      <c r="E106" s="41" t="n"/>
      <c r="F106" s="41" t="n"/>
      <c r="G106" s="42" t="inlineStr">
        <is>
          <t xml:space="preserve">10009       </t>
        </is>
      </c>
      <c r="H106" s="47" t="n"/>
      <c r="I106" s="41" t="n"/>
      <c r="J106" s="47" t="n"/>
      <c r="K106" s="41" t="n"/>
      <c r="L106" s="41" t="n"/>
      <c r="M106" s="47" t="n"/>
      <c r="N106" s="41" t="n"/>
      <c r="O106" s="41" t="n"/>
      <c r="Q106">
        <f>LEFT(I106,9)</f>
        <v/>
      </c>
      <c r="R106">
        <f>TRIM(B106)</f>
        <v/>
      </c>
      <c r="S106">
        <f>COUNTIF($X$1:$X$9,R106) &gt; 0</f>
        <v/>
      </c>
      <c r="T106">
        <f>IF(AND(S106=FALSE,LEN(R106)&gt;2),4,IF(S106=TRUE,INDEX($Y$1:$Y$9,MATCH(R106,$X$1:$X$9,0)),""))</f>
        <v/>
      </c>
      <c r="U106">
        <f>IF(R106&lt;&gt;"",IF(Q111="",0,MATCH(TRUE,INDEX(Q111:$Q$1100="",0),0)-1),"")</f>
        <v/>
      </c>
      <c r="V106">
        <f>IF(AND(T106&lt;&gt;"",U106&lt;&gt;""),IF(U106-T106&lt;=0,"Falls Short",U106-T106),"")</f>
        <v/>
      </c>
      <c r="W106">
        <f>IF(AND(R106&lt;&gt;"",V106&lt;&gt;"Falls Short"),20*V106,"")</f>
        <v/>
      </c>
    </row>
    <row r="107" ht="15" customHeight="1" s="21">
      <c r="A107" s="42" t="n"/>
      <c r="B107" s="46" t="n"/>
      <c r="C107" s="46" t="n"/>
      <c r="D107" s="41" t="n"/>
      <c r="E107" s="41" t="n"/>
      <c r="F107" s="41" t="n"/>
      <c r="G107" s="46" t="n"/>
      <c r="H107" s="46" t="n"/>
      <c r="I107" s="41" t="n"/>
      <c r="J107" s="46" t="n"/>
      <c r="K107" s="41" t="n"/>
      <c r="L107" s="41" t="n"/>
      <c r="M107" s="48" t="inlineStr">
        <is>
          <t>4</t>
        </is>
      </c>
      <c r="N107" s="41" t="n"/>
      <c r="O107" s="41" t="n"/>
      <c r="Q107">
        <f>LEFT(I107,9)</f>
        <v/>
      </c>
      <c r="R107">
        <f>TRIM(B107)</f>
        <v/>
      </c>
      <c r="S107">
        <f>COUNTIF($X$1:$X$9,R107) &gt; 0</f>
        <v/>
      </c>
      <c r="T107">
        <f>IF(AND(S107=FALSE,LEN(R107)&gt;2),4,IF(S107=TRUE,INDEX($Y$1:$Y$9,MATCH(R107,$X$1:$X$9,0)),""))</f>
        <v/>
      </c>
      <c r="U107">
        <f>IF(R107&lt;&gt;"",IF(Q112="",0,MATCH(TRUE,INDEX(Q112:$Q$1100="",0),0)-1),"")</f>
        <v/>
      </c>
      <c r="V107">
        <f>IF(AND(T107&lt;&gt;"",U107&lt;&gt;""),IF(U107-T107&lt;=0,"Falls Short",U107-T107),"")</f>
        <v/>
      </c>
      <c r="W107">
        <f>IF(AND(R107&lt;&gt;"",V107&lt;&gt;"Falls Short"),20*V107,"")</f>
        <v/>
      </c>
    </row>
    <row r="108" ht="21.8" customHeight="1" s="21">
      <c r="A108" s="43" t="inlineStr">
        <is>
          <t xml:space="preserve"> </t>
        </is>
      </c>
      <c r="B108" s="41" t="n"/>
      <c r="C108" s="41" t="n"/>
      <c r="D108" s="41" t="n"/>
      <c r="E108" s="41" t="n"/>
      <c r="F108" s="41" t="n"/>
      <c r="G108" s="41" t="n"/>
      <c r="H108" s="41" t="n"/>
      <c r="I108" s="41" t="n"/>
      <c r="J108" s="41" t="n"/>
      <c r="K108" s="41" t="n"/>
      <c r="L108" s="41" t="n"/>
      <c r="M108" s="41" t="n"/>
      <c r="N108" s="41" t="n"/>
      <c r="O108" s="41" t="n"/>
      <c r="Q108">
        <f>LEFT(I108,9)</f>
        <v/>
      </c>
      <c r="R108">
        <f>TRIM(B108)</f>
        <v/>
      </c>
      <c r="S108">
        <f>COUNTIF($X$1:$X$9,R108) &gt; 0</f>
        <v/>
      </c>
      <c r="T108">
        <f>IF(AND(S108=FALSE,LEN(R108)&gt;2),4,IF(S108=TRUE,INDEX($Y$1:$Y$9,MATCH(R108,$X$1:$X$9,0)),""))</f>
        <v/>
      </c>
      <c r="U108">
        <f>IF(R108&lt;&gt;"",IF(Q113="",0,MATCH(TRUE,INDEX(Q113:$Q$1100="",0),0)-1),"")</f>
        <v/>
      </c>
      <c r="V108">
        <f>IF(AND(T108&lt;&gt;"",U108&lt;&gt;""),IF(U108-T108&lt;=0,"Falls Short",U108-T108),"")</f>
        <v/>
      </c>
      <c r="W108">
        <f>IF(AND(R108&lt;&gt;"",V108&lt;&gt;"Falls Short"),20*V108,"")</f>
        <v/>
      </c>
    </row>
    <row r="109" ht="15" customHeight="1" s="21">
      <c r="A109" s="46" t="n"/>
      <c r="B109" s="41" t="n"/>
      <c r="C109" s="41" t="n"/>
      <c r="D109" s="41" t="n"/>
      <c r="E109" s="46" t="n"/>
      <c r="F109" s="41" t="n"/>
      <c r="G109" s="41" t="n"/>
      <c r="H109" s="48" t="inlineStr">
        <is>
          <t>12 / 2025</t>
        </is>
      </c>
      <c r="I109" s="41" t="n"/>
      <c r="J109" s="48" t="inlineStr">
        <is>
          <t>4</t>
        </is>
      </c>
      <c r="K109" s="46" t="n"/>
      <c r="L109" s="41" t="n"/>
      <c r="M109" s="41" t="n"/>
      <c r="N109" s="41" t="n"/>
      <c r="O109" s="41" t="n"/>
      <c r="Q109">
        <f>LEFT(I109,9)</f>
        <v/>
      </c>
      <c r="R109">
        <f>TRIM(B109)</f>
        <v/>
      </c>
      <c r="S109">
        <f>COUNTIF($X$1:$X$9,R109) &gt; 0</f>
        <v/>
      </c>
      <c r="T109">
        <f>IF(AND(S109=FALSE,LEN(R109)&gt;2),4,IF(S109=TRUE,INDEX($Y$1:$Y$9,MATCH(R109,$X$1:$X$9,0)),""))</f>
        <v/>
      </c>
      <c r="U109">
        <f>IF(R109&lt;&gt;"",IF(Q114="",0,MATCH(TRUE,INDEX(Q114:$Q$1100="",0),0)-1),"")</f>
        <v/>
      </c>
      <c r="V109">
        <f>IF(AND(T109&lt;&gt;"",U109&lt;&gt;""),IF(U109-T109&lt;=0,"Falls Short",U109-T109),"")</f>
        <v/>
      </c>
      <c r="W109">
        <f>IF(AND(R109&lt;&gt;"",V109&lt;&gt;"Falls Short"),20*V109,"")</f>
        <v/>
      </c>
    </row>
    <row r="110" ht="15" customHeight="1" s="21">
      <c r="A110" s="43" t="inlineStr">
        <is>
          <t xml:space="preserve"> </t>
        </is>
      </c>
      <c r="B110" s="41" t="n"/>
      <c r="C110" s="41" t="n"/>
      <c r="D110" s="41" t="n"/>
      <c r="E110" s="41" t="n"/>
      <c r="F110" s="41" t="n"/>
      <c r="G110" s="41" t="n"/>
      <c r="H110" s="41" t="n"/>
      <c r="I110" s="41" t="n"/>
      <c r="J110" s="41" t="n"/>
      <c r="K110" s="41" t="n"/>
      <c r="L110" s="41" t="n"/>
      <c r="M110" s="41" t="n"/>
      <c r="N110" s="41" t="n"/>
      <c r="O110" s="41" t="n"/>
      <c r="Q110">
        <f>LEFT(I110,9)</f>
        <v/>
      </c>
      <c r="R110">
        <f>TRIM(B110)</f>
        <v/>
      </c>
      <c r="S110">
        <f>COUNTIF($X$1:$X$9,R110) &gt; 0</f>
        <v/>
      </c>
      <c r="T110">
        <f>IF(AND(S110=FALSE,LEN(R110)&gt;2),4,IF(S110=TRUE,INDEX($Y$1:$Y$9,MATCH(R110,$X$1:$X$9,0)),""))</f>
        <v/>
      </c>
      <c r="U110">
        <f>IF(R110&lt;&gt;"",IF(Q115="",0,MATCH(TRUE,INDEX(Q115:$Q$1100="",0),0)-1),"")</f>
        <v/>
      </c>
      <c r="V110">
        <f>IF(AND(T110&lt;&gt;"",U110&lt;&gt;""),IF(U110-T110&lt;=0,"Falls Short",U110-T110),"")</f>
        <v/>
      </c>
      <c r="W110">
        <f>IF(AND(R110&lt;&gt;"",V110&lt;&gt;"Falls Short"),20*V110,"")</f>
        <v/>
      </c>
    </row>
    <row r="111" ht="15" customHeight="1" s="21">
      <c r="A111" s="48" t="inlineStr">
        <is>
          <t xml:space="preserve"> </t>
        </is>
      </c>
      <c r="B111" s="41" t="n"/>
      <c r="C111" s="41" t="n"/>
      <c r="D111" s="46" t="n"/>
      <c r="E111" s="41" t="n"/>
      <c r="F111" s="41" t="n"/>
      <c r="G111" s="41" t="n"/>
      <c r="H111" s="41" t="n"/>
      <c r="I111" s="48" t="inlineStr">
        <is>
          <t>18-DEC-25</t>
        </is>
      </c>
      <c r="J111" s="41" t="n"/>
      <c r="K111" s="48" t="inlineStr">
        <is>
          <t>Training C</t>
        </is>
      </c>
      <c r="L111" s="41" t="n"/>
      <c r="M111" s="48" t="inlineStr">
        <is>
          <t xml:space="preserve">CDI </t>
        </is>
      </c>
      <c r="N111" s="41" t="n"/>
      <c r="O111" s="41" t="n"/>
      <c r="Q111">
        <f>LEFT(I111,9)</f>
        <v/>
      </c>
      <c r="R111">
        <f>TRIM(B111)</f>
        <v/>
      </c>
      <c r="S111">
        <f>COUNTIF($X$1:$X$9,R111) &gt; 0</f>
        <v/>
      </c>
      <c r="T111">
        <f>IF(AND(S111=FALSE,LEN(R111)&gt;2),4,IF(S111=TRUE,INDEX($Y$1:$Y$9,MATCH(R111,$X$1:$X$9,0)),""))</f>
        <v/>
      </c>
      <c r="U111">
        <f>IF(R111&lt;&gt;"",IF(Q116="",0,MATCH(TRUE,INDEX(Q116:$Q$1100="",0),0)-1),"")</f>
        <v/>
      </c>
      <c r="V111">
        <f>IF(AND(T111&lt;&gt;"",U111&lt;&gt;""),IF(U111-T111&lt;=0,"Falls Short",U111-T111),"")</f>
        <v/>
      </c>
      <c r="W111">
        <f>IF(AND(R111&lt;&gt;"",V111&lt;&gt;"Falls Short"),20*V111,"")</f>
        <v/>
      </c>
    </row>
    <row r="112" ht="15" customHeight="1" s="21">
      <c r="A112" s="48" t="inlineStr">
        <is>
          <t xml:space="preserve"> </t>
        </is>
      </c>
      <c r="B112" s="41" t="n"/>
      <c r="C112" s="41" t="n"/>
      <c r="D112" s="46" t="n"/>
      <c r="E112" s="41" t="n"/>
      <c r="F112" s="41" t="n"/>
      <c r="G112" s="41" t="n"/>
      <c r="H112" s="41" t="n"/>
      <c r="I112" s="48" t="inlineStr">
        <is>
          <t>19-DEC-25</t>
        </is>
      </c>
      <c r="J112" s="41" t="n"/>
      <c r="K112" s="48" t="inlineStr">
        <is>
          <t>Training C</t>
        </is>
      </c>
      <c r="L112" s="41" t="n"/>
      <c r="M112" s="48" t="inlineStr">
        <is>
          <t xml:space="preserve">CDI </t>
        </is>
      </c>
      <c r="N112" s="41" t="n"/>
      <c r="O112" s="41" t="n"/>
      <c r="Q112">
        <f>LEFT(I112,9)</f>
        <v/>
      </c>
      <c r="R112">
        <f>TRIM(B112)</f>
        <v/>
      </c>
      <c r="S112">
        <f>COUNTIF($X$1:$X$9,R112) &gt; 0</f>
        <v/>
      </c>
      <c r="T112">
        <f>IF(AND(S112=FALSE,LEN(R112)&gt;2),4,IF(S112=TRUE,INDEX($Y$1:$Y$9,MATCH(R112,$X$1:$X$9,0)),""))</f>
        <v/>
      </c>
      <c r="U112">
        <f>IF(R112&lt;&gt;"",IF(Q117="",0,MATCH(TRUE,INDEX(Q117:$Q$1100="",0),0)-1),"")</f>
        <v/>
      </c>
      <c r="V112">
        <f>IF(AND(T112&lt;&gt;"",U112&lt;&gt;""),IF(U112-T112&lt;=0,"Falls Short",U112-T112),"")</f>
        <v/>
      </c>
      <c r="W112">
        <f>IF(AND(R112&lt;&gt;"",V112&lt;&gt;"Falls Short"),20*V112,"")</f>
        <v/>
      </c>
    </row>
    <row r="113" ht="15" customHeight="1" s="21">
      <c r="A113" s="48" t="inlineStr">
        <is>
          <t xml:space="preserve"> </t>
        </is>
      </c>
      <c r="B113" s="41" t="n"/>
      <c r="C113" s="41" t="n"/>
      <c r="D113" s="46" t="n"/>
      <c r="E113" s="41" t="n"/>
      <c r="F113" s="41" t="n"/>
      <c r="G113" s="41" t="n"/>
      <c r="H113" s="41" t="n"/>
      <c r="I113" s="48" t="inlineStr">
        <is>
          <t>30-DEC-25</t>
        </is>
      </c>
      <c r="J113" s="41" t="n"/>
      <c r="K113" s="48" t="inlineStr">
        <is>
          <t>Training C</t>
        </is>
      </c>
      <c r="L113" s="41" t="n"/>
      <c r="M113" s="48" t="inlineStr">
        <is>
          <t xml:space="preserve">CDI </t>
        </is>
      </c>
      <c r="N113" s="41" t="n"/>
      <c r="O113" s="41" t="n"/>
      <c r="Q113">
        <f>LEFT(I113,9)</f>
        <v/>
      </c>
      <c r="R113">
        <f>TRIM(B113)</f>
        <v/>
      </c>
      <c r="S113">
        <f>COUNTIF($X$1:$X$9,R113) &gt; 0</f>
        <v/>
      </c>
      <c r="T113">
        <f>IF(AND(S113=FALSE,LEN(R113)&gt;2),4,IF(S113=TRUE,INDEX($Y$1:$Y$9,MATCH(R113,$X$1:$X$9,0)),""))</f>
        <v/>
      </c>
      <c r="U113">
        <f>IF(R113&lt;&gt;"",IF(Q118="",0,MATCH(TRUE,INDEX(Q118:$Q$1100="",0),0)-1),"")</f>
        <v/>
      </c>
      <c r="V113">
        <f>IF(AND(T113&lt;&gt;"",U113&lt;&gt;""),IF(U113-T113&lt;=0,"Falls Short",U113-T113),"")</f>
        <v/>
      </c>
      <c r="W113">
        <f>IF(AND(R113&lt;&gt;"",V113&lt;&gt;"Falls Short"),20*V113,"")</f>
        <v/>
      </c>
    </row>
    <row r="114" ht="15" customHeight="1" s="21">
      <c r="A114" s="48" t="inlineStr">
        <is>
          <t xml:space="preserve"> </t>
        </is>
      </c>
      <c r="B114" s="41" t="n"/>
      <c r="C114" s="41" t="n"/>
      <c r="D114" s="46" t="n"/>
      <c r="E114" s="41" t="n"/>
      <c r="F114" s="41" t="n"/>
      <c r="G114" s="41" t="n"/>
      <c r="H114" s="41" t="n"/>
      <c r="I114" s="48" t="inlineStr">
        <is>
          <t>31-DEC-25</t>
        </is>
      </c>
      <c r="J114" s="41" t="n"/>
      <c r="K114" s="48" t="inlineStr">
        <is>
          <t>Training E</t>
        </is>
      </c>
      <c r="L114" s="41" t="n"/>
      <c r="M114" s="48" t="inlineStr">
        <is>
          <t xml:space="preserve">CDI </t>
        </is>
      </c>
      <c r="N114" s="41" t="n"/>
      <c r="O114" s="41" t="n"/>
      <c r="Q114">
        <f>LEFT(I114,9)</f>
        <v/>
      </c>
      <c r="R114">
        <f>TRIM(B114)</f>
        <v/>
      </c>
      <c r="S114">
        <f>COUNTIF($X$1:$X$9,R114) &gt; 0</f>
        <v/>
      </c>
      <c r="T114">
        <f>IF(AND(S114=FALSE,LEN(R114)&gt;2),4,IF(S114=TRUE,INDEX($Y$1:$Y$9,MATCH(R114,$X$1:$X$9,0)),""))</f>
        <v/>
      </c>
      <c r="U114">
        <f>IF(R114&lt;&gt;"",IF(Q119="",0,MATCH(TRUE,INDEX(Q119:$Q$1100="",0),0)-1),"")</f>
        <v/>
      </c>
      <c r="V114">
        <f>IF(AND(T114&lt;&gt;"",U114&lt;&gt;""),IF(U114-T114&lt;=0,"Falls Short",U114-T114),"")</f>
        <v/>
      </c>
      <c r="W114">
        <f>IF(AND(R114&lt;&gt;"",V114&lt;&gt;"Falls Short"),20*V114,"")</f>
        <v/>
      </c>
    </row>
    <row r="115" ht="15" customHeight="1" s="21">
      <c r="A115" s="49" t="inlineStr">
        <is>
          <t xml:space="preserve"> </t>
        </is>
      </c>
      <c r="B115" s="41" t="n"/>
      <c r="C115" s="41" t="n"/>
      <c r="D115" s="41" t="n"/>
      <c r="E115" s="41" t="n"/>
      <c r="F115" s="41" t="n"/>
      <c r="G115" s="41" t="n"/>
      <c r="H115" s="41" t="n"/>
      <c r="I115" s="41" t="n"/>
      <c r="J115" s="41" t="n"/>
      <c r="K115" s="41" t="n"/>
      <c r="L115" s="41" t="n"/>
      <c r="M115" s="41" t="n"/>
      <c r="N115" s="41" t="n"/>
      <c r="O115" s="41" t="n"/>
      <c r="Q115">
        <f>LEFT(I115,9)</f>
        <v/>
      </c>
      <c r="R115">
        <f>TRIM(B115)</f>
        <v/>
      </c>
      <c r="S115">
        <f>COUNTIF($X$1:$X$9,R115) &gt; 0</f>
        <v/>
      </c>
      <c r="T115">
        <f>IF(AND(S115=FALSE,LEN(R115)&gt;2),4,IF(S115=TRUE,INDEX($Y$1:$Y$9,MATCH(R115,$X$1:$X$9,0)),""))</f>
        <v/>
      </c>
      <c r="U115">
        <f>IF(R115&lt;&gt;"",IF(Q120="",0,MATCH(TRUE,INDEX(Q120:$Q$1100="",0),0)-1),"")</f>
        <v/>
      </c>
      <c r="V115">
        <f>IF(AND(T115&lt;&gt;"",U115&lt;&gt;""),IF(U115-T115&lt;=0,"Falls Short",U115-T115),"")</f>
        <v/>
      </c>
      <c r="W115">
        <f>IF(AND(R115&lt;&gt;"",V115&lt;&gt;"Falls Short"),20*V115,"")</f>
        <v/>
      </c>
    </row>
    <row r="116" ht="15" customHeight="1" s="21">
      <c r="A116" s="49" t="inlineStr">
        <is>
          <t xml:space="preserve"> </t>
        </is>
      </c>
      <c r="B116" s="41" t="n"/>
      <c r="C116" s="41" t="n"/>
      <c r="D116" s="41" t="n"/>
      <c r="E116" s="41" t="n"/>
      <c r="F116" s="41" t="n"/>
      <c r="G116" s="41" t="n"/>
      <c r="H116" s="41" t="n"/>
      <c r="I116" s="41" t="n"/>
      <c r="J116" s="41" t="n"/>
      <c r="K116" s="41" t="n"/>
      <c r="L116" s="41" t="n"/>
      <c r="M116" s="41" t="n"/>
      <c r="N116" s="41" t="n"/>
      <c r="O116" s="41" t="n"/>
      <c r="Q116">
        <f>LEFT(I116,9)</f>
        <v/>
      </c>
      <c r="R116">
        <f>TRIM(B116)</f>
        <v/>
      </c>
      <c r="S116">
        <f>COUNTIF($X$1:$X$9,R116) &gt; 0</f>
        <v/>
      </c>
      <c r="T116">
        <f>IF(AND(S116=FALSE,LEN(R116)&gt;2),4,IF(S116=TRUE,INDEX($Y$1:$Y$9,MATCH(R116,$X$1:$X$9,0)),""))</f>
        <v/>
      </c>
      <c r="U116">
        <f>IF(R116&lt;&gt;"",IF(Q121="",0,MATCH(TRUE,INDEX(Q121:$Q$1100="",0),0)-1),"")</f>
        <v/>
      </c>
      <c r="V116">
        <f>IF(AND(T116&lt;&gt;"",U116&lt;&gt;""),IF(U116-T116&lt;=0,"Falls Short",U116-T116),"")</f>
        <v/>
      </c>
      <c r="W116">
        <f>IF(AND(R116&lt;&gt;"",V116&lt;&gt;"Falls Short"),20*V116,"")</f>
        <v/>
      </c>
    </row>
    <row r="117" ht="15" customHeight="1" s="21">
      <c r="A117" s="43" t="inlineStr">
        <is>
          <t xml:space="preserve"> </t>
        </is>
      </c>
      <c r="B117" s="41" t="n"/>
      <c r="C117" s="41" t="n"/>
      <c r="D117" s="41" t="n"/>
      <c r="E117" s="41" t="n"/>
      <c r="F117" s="41" t="n"/>
      <c r="G117" s="41" t="n"/>
      <c r="H117" s="41" t="n"/>
      <c r="I117" s="41" t="n"/>
      <c r="J117" s="41" t="n"/>
      <c r="K117" s="41" t="n"/>
      <c r="L117" s="41" t="n"/>
      <c r="M117" s="41" t="n"/>
      <c r="N117" s="41" t="n"/>
      <c r="O117" s="41" t="n"/>
      <c r="Q117">
        <f>LEFT(I117,9)</f>
        <v/>
      </c>
      <c r="R117">
        <f>TRIM(B117)</f>
        <v/>
      </c>
      <c r="S117">
        <f>COUNTIF($X$1:$X$9,R117) &gt; 0</f>
        <v/>
      </c>
      <c r="T117">
        <f>IF(AND(S117=FALSE,LEN(R117)&gt;2),4,IF(S117=TRUE,INDEX($Y$1:$Y$9,MATCH(R117,$X$1:$X$9,0)),""))</f>
        <v/>
      </c>
      <c r="U117">
        <f>IF(R117&lt;&gt;"",IF(Q122="",0,MATCH(TRUE,INDEX(Q122:$Q$1100="",0),0)-1),"")</f>
        <v/>
      </c>
      <c r="V117">
        <f>IF(AND(T117&lt;&gt;"",U117&lt;&gt;""),IF(U117-T117&lt;=0,"Falls Short",U117-T117),"")</f>
        <v/>
      </c>
      <c r="W117">
        <f>IF(AND(R117&lt;&gt;"",V117&lt;&gt;"Falls Short"),20*V117,"")</f>
        <v/>
      </c>
    </row>
    <row r="118" ht="15" customHeight="1" s="21">
      <c r="A118" s="44" t="n"/>
      <c r="B118" s="44" t="n"/>
      <c r="C118" s="44" t="n"/>
      <c r="D118" s="41" t="n"/>
      <c r="E118" s="41" t="n"/>
      <c r="F118" s="41" t="n"/>
      <c r="G118" s="44" t="n"/>
      <c r="H118" s="45" t="inlineStr">
        <is>
          <t>Month</t>
        </is>
      </c>
      <c r="I118" s="41" t="n"/>
      <c r="J118" s="45" t="inlineStr">
        <is>
          <t>Days</t>
        </is>
      </c>
      <c r="K118" s="41" t="n"/>
      <c r="L118" s="41" t="n"/>
      <c r="M118" s="45" t="inlineStr">
        <is>
          <t>Total</t>
        </is>
      </c>
      <c r="N118" s="41" t="n"/>
      <c r="O118" s="41" t="n"/>
      <c r="Q118">
        <f>LEFT(I118,9)</f>
        <v/>
      </c>
      <c r="R118">
        <f>TRIM(B118)</f>
        <v/>
      </c>
      <c r="S118">
        <f>COUNTIF($X$1:$X$9,R118) &gt; 0</f>
        <v/>
      </c>
      <c r="T118">
        <f>IF(AND(S118=FALSE,LEN(R118)&gt;2),4,IF(S118=TRUE,INDEX($Y$1:$Y$9,MATCH(R118,$X$1:$X$9,0)),""))</f>
        <v/>
      </c>
      <c r="U118">
        <f>IF(R118&lt;&gt;"",IF(Q123="",0,MATCH(TRUE,INDEX(Q123:$Q$1100="",0),0)-1),"")</f>
        <v/>
      </c>
      <c r="V118">
        <f>IF(AND(T118&lt;&gt;"",U118&lt;&gt;""),IF(U118-T118&lt;=0,"Falls Short",U118-T118),"")</f>
        <v/>
      </c>
      <c r="W118">
        <f>IF(AND(R118&lt;&gt;"",V118&lt;&gt;"Falls Short"),20*V118,"")</f>
        <v/>
      </c>
    </row>
    <row r="119" ht="15" customHeight="1" s="21">
      <c r="A119" s="46" t="inlineStr">
        <is>
          <t>Job Role X</t>
        </is>
      </c>
      <c r="B119" s="42" t="inlineStr">
        <is>
          <t>AGH</t>
        </is>
      </c>
      <c r="C119" s="42" t="inlineStr">
        <is>
          <t xml:space="preserve">   CYGNUS KAPPA</t>
        </is>
      </c>
      <c r="D119" s="41" t="n"/>
      <c r="E119" s="41" t="n"/>
      <c r="F119" s="41" t="n"/>
      <c r="G119" s="42" t="inlineStr">
        <is>
          <t xml:space="preserve">10007       </t>
        </is>
      </c>
      <c r="H119" s="47" t="n"/>
      <c r="I119" s="41" t="n"/>
      <c r="J119" s="47" t="n"/>
      <c r="K119" s="41" t="n"/>
      <c r="L119" s="41" t="n"/>
      <c r="M119" s="47" t="n"/>
      <c r="N119" s="41" t="n"/>
      <c r="O119" s="41" t="n"/>
      <c r="Q119">
        <f>LEFT(I119,9)</f>
        <v/>
      </c>
      <c r="R119">
        <f>TRIM(B119)</f>
        <v/>
      </c>
      <c r="S119">
        <f>COUNTIF($X$1:$X$9,R119) &gt; 0</f>
        <v/>
      </c>
      <c r="T119">
        <f>IF(AND(S119=FALSE,LEN(R119)&gt;2),4,IF(S119=TRUE,INDEX($Y$1:$Y$9,MATCH(R119,$X$1:$X$9,0)),""))</f>
        <v/>
      </c>
      <c r="U119">
        <f>IF(R119&lt;&gt;"",IF(Q124="",0,MATCH(TRUE,INDEX(Q124:$Q$1100="",0),0)-1),"")</f>
        <v/>
      </c>
      <c r="V119">
        <f>IF(AND(T119&lt;&gt;"",U119&lt;&gt;""),IF(U119-T119&lt;=0,"Falls Short",U119-T119),"")</f>
        <v/>
      </c>
      <c r="W119">
        <f>IF(AND(R119&lt;&gt;"",V119&lt;&gt;"Falls Short"),20*V119,"")</f>
        <v/>
      </c>
    </row>
    <row r="120" ht="21.8" customHeight="1" s="21">
      <c r="A120" s="42" t="n"/>
      <c r="B120" s="46" t="n"/>
      <c r="C120" s="46" t="n"/>
      <c r="D120" s="41" t="n"/>
      <c r="E120" s="41" t="n"/>
      <c r="F120" s="41" t="n"/>
      <c r="G120" s="46" t="n"/>
      <c r="H120" s="46" t="n"/>
      <c r="I120" s="41" t="n"/>
      <c r="J120" s="46" t="n"/>
      <c r="K120" s="41" t="n"/>
      <c r="L120" s="41" t="n"/>
      <c r="M120" s="48" t="inlineStr">
        <is>
          <t>8</t>
        </is>
      </c>
      <c r="N120" s="41" t="n"/>
      <c r="O120" s="41" t="n"/>
      <c r="Q120">
        <f>LEFT(I120,9)</f>
        <v/>
      </c>
      <c r="R120">
        <f>TRIM(B120)</f>
        <v/>
      </c>
      <c r="S120">
        <f>COUNTIF($X$1:$X$9,R120) &gt; 0</f>
        <v/>
      </c>
      <c r="T120">
        <f>IF(AND(S120=FALSE,LEN(R120)&gt;2),4,IF(S120=TRUE,INDEX($Y$1:$Y$9,MATCH(R120,$X$1:$X$9,0)),""))</f>
        <v/>
      </c>
      <c r="U120">
        <f>IF(R120&lt;&gt;"",IF(Q125="",0,MATCH(TRUE,INDEX(Q125:$Q$1100="",0),0)-1),"")</f>
        <v/>
      </c>
      <c r="V120">
        <f>IF(AND(T120&lt;&gt;"",U120&lt;&gt;""),IF(U120-T120&lt;=0,"Falls Short",U120-T120),"")</f>
        <v/>
      </c>
      <c r="W120">
        <f>IF(AND(R120&lt;&gt;"",V120&lt;&gt;"Falls Short"),20*V120,"")</f>
        <v/>
      </c>
    </row>
    <row r="121" ht="15" customHeight="1" s="21">
      <c r="A121" s="43" t="inlineStr">
        <is>
          <t xml:space="preserve"> </t>
        </is>
      </c>
      <c r="B121" s="41" t="n"/>
      <c r="C121" s="41" t="n"/>
      <c r="D121" s="41" t="n"/>
      <c r="E121" s="41" t="n"/>
      <c r="F121" s="41" t="n"/>
      <c r="G121" s="41" t="n"/>
      <c r="H121" s="41" t="n"/>
      <c r="I121" s="41" t="n"/>
      <c r="J121" s="41" t="n"/>
      <c r="K121" s="41" t="n"/>
      <c r="L121" s="41" t="n"/>
      <c r="M121" s="41" t="n"/>
      <c r="N121" s="41" t="n"/>
      <c r="O121" s="41" t="n"/>
      <c r="Q121">
        <f>LEFT(I121,9)</f>
        <v/>
      </c>
      <c r="R121">
        <f>TRIM(B121)</f>
        <v/>
      </c>
      <c r="S121">
        <f>COUNTIF($X$1:$X$9,R121) &gt; 0</f>
        <v/>
      </c>
      <c r="T121">
        <f>IF(AND(S121=FALSE,LEN(R121)&gt;2),4,IF(S121=TRUE,INDEX($Y$1:$Y$9,MATCH(R121,$X$1:$X$9,0)),""))</f>
        <v/>
      </c>
      <c r="U121">
        <f>IF(R121&lt;&gt;"",IF(Q126="",0,MATCH(TRUE,INDEX(Q126:$Q$1100="",0),0)-1),"")</f>
        <v/>
      </c>
      <c r="V121">
        <f>IF(AND(T121&lt;&gt;"",U121&lt;&gt;""),IF(U121-T121&lt;=0,"Falls Short",U121-T121),"")</f>
        <v/>
      </c>
      <c r="W121">
        <f>IF(AND(R121&lt;&gt;"",V121&lt;&gt;"Falls Short"),20*V121,"")</f>
        <v/>
      </c>
    </row>
    <row r="122" ht="15" customHeight="1" s="21">
      <c r="A122" s="46" t="n"/>
      <c r="B122" s="41" t="n"/>
      <c r="C122" s="41" t="n"/>
      <c r="D122" s="41" t="n"/>
      <c r="E122" s="46" t="n"/>
      <c r="F122" s="41" t="n"/>
      <c r="G122" s="41" t="n"/>
      <c r="H122" s="48" t="inlineStr">
        <is>
          <t>12 / 2025</t>
        </is>
      </c>
      <c r="I122" s="41" t="n"/>
      <c r="J122" s="48" t="inlineStr">
        <is>
          <t>8</t>
        </is>
      </c>
      <c r="K122" s="46" t="n"/>
      <c r="L122" s="41" t="n"/>
      <c r="M122" s="41" t="n"/>
      <c r="N122" s="41" t="n"/>
      <c r="O122" s="41" t="n"/>
      <c r="Q122">
        <f>LEFT(I122,9)</f>
        <v/>
      </c>
      <c r="R122">
        <f>TRIM(B122)</f>
        <v/>
      </c>
      <c r="S122">
        <f>COUNTIF($X$1:$X$9,R122) &gt; 0</f>
        <v/>
      </c>
      <c r="T122">
        <f>IF(AND(S122=FALSE,LEN(R122)&gt;2),4,IF(S122=TRUE,INDEX($Y$1:$Y$9,MATCH(R122,$X$1:$X$9,0)),""))</f>
        <v/>
      </c>
      <c r="U122">
        <f>IF(R122&lt;&gt;"",IF(Q127="",0,MATCH(TRUE,INDEX(Q127:$Q$1100="",0),0)-1),"")</f>
        <v/>
      </c>
      <c r="V122">
        <f>IF(AND(T122&lt;&gt;"",U122&lt;&gt;""),IF(U122-T122&lt;=0,"Falls Short",U122-T122),"")</f>
        <v/>
      </c>
      <c r="W122">
        <f>IF(AND(R122&lt;&gt;"",V122&lt;&gt;"Falls Short"),20*V122,"")</f>
        <v/>
      </c>
    </row>
    <row r="123" ht="15" customHeight="1" s="21">
      <c r="A123" s="43" t="inlineStr">
        <is>
          <t xml:space="preserve"> </t>
        </is>
      </c>
      <c r="B123" s="41" t="n"/>
      <c r="C123" s="41" t="n"/>
      <c r="D123" s="41" t="n"/>
      <c r="E123" s="41" t="n"/>
      <c r="F123" s="41" t="n"/>
      <c r="G123" s="41" t="n"/>
      <c r="H123" s="41" t="n"/>
      <c r="I123" s="41" t="n"/>
      <c r="J123" s="41" t="n"/>
      <c r="K123" s="41" t="n"/>
      <c r="L123" s="41" t="n"/>
      <c r="M123" s="41" t="n"/>
      <c r="N123" s="41" t="n"/>
      <c r="O123" s="41" t="n"/>
      <c r="Q123">
        <f>LEFT(I123,9)</f>
        <v/>
      </c>
      <c r="R123">
        <f>TRIM(B123)</f>
        <v/>
      </c>
      <c r="S123">
        <f>COUNTIF($X$1:$X$9,R123) &gt; 0</f>
        <v/>
      </c>
      <c r="T123">
        <f>IF(AND(S123=FALSE,LEN(R123)&gt;2),4,IF(S123=TRUE,INDEX($Y$1:$Y$9,MATCH(R123,$X$1:$X$9,0)),""))</f>
        <v/>
      </c>
      <c r="U123">
        <f>IF(R123&lt;&gt;"",IF(Q128="",0,MATCH(TRUE,INDEX(Q128:$Q$1100="",0),0)-1),"")</f>
        <v/>
      </c>
      <c r="V123">
        <f>IF(AND(T123&lt;&gt;"",U123&lt;&gt;""),IF(U123-T123&lt;=0,"Falls Short",U123-T123),"")</f>
        <v/>
      </c>
      <c r="W123">
        <f>IF(AND(R123&lt;&gt;"",V123&lt;&gt;"Falls Short"),20*V123,"")</f>
        <v/>
      </c>
    </row>
    <row r="124" ht="15" customHeight="1" s="21">
      <c r="A124" s="48" t="inlineStr">
        <is>
          <t xml:space="preserve"> </t>
        </is>
      </c>
      <c r="B124" s="41" t="n"/>
      <c r="C124" s="41" t="n"/>
      <c r="D124" s="46" t="n"/>
      <c r="E124" s="41" t="n"/>
      <c r="F124" s="41" t="n"/>
      <c r="G124" s="41" t="n"/>
      <c r="H124" s="41" t="n"/>
      <c r="I124" s="48" t="inlineStr">
        <is>
          <t>04-DEC-25</t>
        </is>
      </c>
      <c r="J124" s="41" t="n"/>
      <c r="K124" s="48" t="inlineStr">
        <is>
          <t>Training C</t>
        </is>
      </c>
      <c r="L124" s="41" t="n"/>
      <c r="M124" s="48" t="inlineStr">
        <is>
          <t xml:space="preserve">C80 </t>
        </is>
      </c>
      <c r="N124" s="41" t="n"/>
      <c r="O124" s="41" t="n"/>
      <c r="Q124">
        <f>LEFT(I124,9)</f>
        <v/>
      </c>
      <c r="R124">
        <f>TRIM(B124)</f>
        <v/>
      </c>
      <c r="S124">
        <f>COUNTIF($X$1:$X$9,R124) &gt; 0</f>
        <v/>
      </c>
      <c r="T124">
        <f>IF(AND(S124=FALSE,LEN(R124)&gt;2),4,IF(S124=TRUE,INDEX($Y$1:$Y$9,MATCH(R124,$X$1:$X$9,0)),""))</f>
        <v/>
      </c>
      <c r="U124">
        <f>IF(R124&lt;&gt;"",IF(Q129="",0,MATCH(TRUE,INDEX(Q129:$Q$1100="",0),0)-1),"")</f>
        <v/>
      </c>
      <c r="V124">
        <f>IF(AND(T124&lt;&gt;"",U124&lt;&gt;""),IF(U124-T124&lt;=0,"Falls Short",U124-T124),"")</f>
        <v/>
      </c>
      <c r="W124">
        <f>IF(AND(R124&lt;&gt;"",V124&lt;&gt;"Falls Short"),20*V124,"")</f>
        <v/>
      </c>
    </row>
    <row r="125" ht="15" customHeight="1" s="21">
      <c r="A125" s="48" t="inlineStr">
        <is>
          <t xml:space="preserve"> </t>
        </is>
      </c>
      <c r="B125" s="41" t="n"/>
      <c r="C125" s="41" t="n"/>
      <c r="D125" s="46" t="n"/>
      <c r="E125" s="41" t="n"/>
      <c r="F125" s="41" t="n"/>
      <c r="G125" s="41" t="n"/>
      <c r="H125" s="41" t="n"/>
      <c r="I125" s="48" t="inlineStr">
        <is>
          <t>05-DEC-25</t>
        </is>
      </c>
      <c r="J125" s="41" t="n"/>
      <c r="K125" s="48" t="inlineStr">
        <is>
          <t>Training C</t>
        </is>
      </c>
      <c r="L125" s="41" t="n"/>
      <c r="M125" s="48" t="inlineStr">
        <is>
          <t xml:space="preserve">C80 </t>
        </is>
      </c>
      <c r="N125" s="41" t="n"/>
      <c r="O125" s="41" t="n"/>
      <c r="Q125">
        <f>LEFT(I125,9)</f>
        <v/>
      </c>
      <c r="R125">
        <f>TRIM(B125)</f>
        <v/>
      </c>
      <c r="S125">
        <f>COUNTIF($X$1:$X$9,R125) &gt; 0</f>
        <v/>
      </c>
      <c r="T125">
        <f>IF(AND(S125=FALSE,LEN(R125)&gt;2),4,IF(S125=TRUE,INDEX($Y$1:$Y$9,MATCH(R125,$X$1:$X$9,0)),""))</f>
        <v/>
      </c>
      <c r="U125">
        <f>IF(R125&lt;&gt;"",IF(Q130="",0,MATCH(TRUE,INDEX(Q130:$Q$1100="",0),0)-1),"")</f>
        <v/>
      </c>
      <c r="V125">
        <f>IF(AND(T125&lt;&gt;"",U125&lt;&gt;""),IF(U125-T125&lt;=0,"Falls Short",U125-T125),"")</f>
        <v/>
      </c>
      <c r="W125">
        <f>IF(AND(R125&lt;&gt;"",V125&lt;&gt;"Falls Short"),20*V125,"")</f>
        <v/>
      </c>
    </row>
    <row r="126" ht="15" customHeight="1" s="21">
      <c r="A126" s="48" t="inlineStr">
        <is>
          <t xml:space="preserve"> </t>
        </is>
      </c>
      <c r="B126" s="41" t="n"/>
      <c r="C126" s="41" t="n"/>
      <c r="D126" s="46" t="n"/>
      <c r="E126" s="41" t="n"/>
      <c r="F126" s="41" t="n"/>
      <c r="G126" s="41" t="n"/>
      <c r="H126" s="41" t="n"/>
      <c r="I126" s="48" t="inlineStr">
        <is>
          <t>09-DEC-25</t>
        </is>
      </c>
      <c r="J126" s="41" t="n"/>
      <c r="K126" s="48" t="inlineStr">
        <is>
          <t>Training E</t>
        </is>
      </c>
      <c r="L126" s="41" t="n"/>
      <c r="M126" s="48" t="inlineStr">
        <is>
          <t xml:space="preserve">C80 </t>
        </is>
      </c>
      <c r="N126" s="41" t="n"/>
      <c r="O126" s="41" t="n"/>
      <c r="Q126">
        <f>LEFT(I126,9)</f>
        <v/>
      </c>
      <c r="R126">
        <f>TRIM(B126)</f>
        <v/>
      </c>
      <c r="S126">
        <f>COUNTIF($X$1:$X$9,R126) &gt; 0</f>
        <v/>
      </c>
      <c r="T126">
        <f>IF(AND(S126=FALSE,LEN(R126)&gt;2),4,IF(S126=TRUE,INDEX($Y$1:$Y$9,MATCH(R126,$X$1:$X$9,0)),""))</f>
        <v/>
      </c>
      <c r="U126">
        <f>IF(R126&lt;&gt;"",IF(Q131="",0,MATCH(TRUE,INDEX(Q131:$Q$1100="",0),0)-1),"")</f>
        <v/>
      </c>
      <c r="V126">
        <f>IF(AND(T126&lt;&gt;"",U126&lt;&gt;""),IF(U126-T126&lt;=0,"Falls Short",U126-T126),"")</f>
        <v/>
      </c>
      <c r="W126">
        <f>IF(AND(R126&lt;&gt;"",V126&lt;&gt;"Falls Short"),20*V126,"")</f>
        <v/>
      </c>
    </row>
    <row r="127" ht="15" customHeight="1" s="21">
      <c r="A127" s="48" t="inlineStr">
        <is>
          <t xml:space="preserve"> </t>
        </is>
      </c>
      <c r="B127" s="41" t="n"/>
      <c r="C127" s="41" t="n"/>
      <c r="D127" s="46" t="n"/>
      <c r="E127" s="41" t="n"/>
      <c r="F127" s="41" t="n"/>
      <c r="G127" s="41" t="n"/>
      <c r="H127" s="41" t="n"/>
      <c r="I127" s="48" t="inlineStr">
        <is>
          <t>10-DEC-25</t>
        </is>
      </c>
      <c r="J127" s="41" t="n"/>
      <c r="K127" s="48" t="inlineStr">
        <is>
          <t>Training C</t>
        </is>
      </c>
      <c r="L127" s="41" t="n"/>
      <c r="M127" s="48" t="inlineStr">
        <is>
          <t xml:space="preserve">C80 </t>
        </is>
      </c>
      <c r="N127" s="41" t="n"/>
      <c r="O127" s="41" t="n"/>
      <c r="Q127">
        <f>LEFT(I127,9)</f>
        <v/>
      </c>
      <c r="R127">
        <f>TRIM(B127)</f>
        <v/>
      </c>
      <c r="S127">
        <f>COUNTIF($X$1:$X$9,R127) &gt; 0</f>
        <v/>
      </c>
      <c r="T127">
        <f>IF(AND(S127=FALSE,LEN(R127)&gt;2),4,IF(S127=TRUE,INDEX($Y$1:$Y$9,MATCH(R127,$X$1:$X$9,0)),""))</f>
        <v/>
      </c>
      <c r="U127">
        <f>IF(R127&lt;&gt;"",IF(Q132="",0,MATCH(TRUE,INDEX(Q132:$Q$1100="",0),0)-1),"")</f>
        <v/>
      </c>
      <c r="V127">
        <f>IF(AND(T127&lt;&gt;"",U127&lt;&gt;""),IF(U127-T127&lt;=0,"Falls Short",U127-T127),"")</f>
        <v/>
      </c>
      <c r="W127">
        <f>IF(AND(R127&lt;&gt;"",V127&lt;&gt;"Falls Short"),20*V127,"")</f>
        <v/>
      </c>
    </row>
    <row r="128" ht="15" customHeight="1" s="21">
      <c r="A128" s="48" t="inlineStr">
        <is>
          <t xml:space="preserve"> </t>
        </is>
      </c>
      <c r="B128" s="41" t="n"/>
      <c r="C128" s="41" t="n"/>
      <c r="D128" s="46" t="n"/>
      <c r="E128" s="41" t="n"/>
      <c r="F128" s="41" t="n"/>
      <c r="G128" s="41" t="n"/>
      <c r="H128" s="41" t="n"/>
      <c r="I128" s="48" t="inlineStr">
        <is>
          <t>11-DEC-25</t>
        </is>
      </c>
      <c r="J128" s="41" t="n"/>
      <c r="K128" s="48" t="inlineStr">
        <is>
          <t>Training C</t>
        </is>
      </c>
      <c r="L128" s="41" t="n"/>
      <c r="M128" s="48" t="inlineStr">
        <is>
          <t xml:space="preserve">C80 </t>
        </is>
      </c>
      <c r="N128" s="41" t="n"/>
      <c r="O128" s="41" t="n"/>
      <c r="Q128">
        <f>LEFT(I128,9)</f>
        <v/>
      </c>
      <c r="R128">
        <f>TRIM(B128)</f>
        <v/>
      </c>
      <c r="S128">
        <f>COUNTIF($X$1:$X$9,R128) &gt; 0</f>
        <v/>
      </c>
      <c r="T128">
        <f>IF(AND(S128=FALSE,LEN(R128)&gt;2),4,IF(S128=TRUE,INDEX($Y$1:$Y$9,MATCH(R128,$X$1:$X$9,0)),""))</f>
        <v/>
      </c>
      <c r="U128">
        <f>IF(R128&lt;&gt;"",IF(Q133="",0,MATCH(TRUE,INDEX(Q133:$Q$1100="",0),0)-1),"")</f>
        <v/>
      </c>
      <c r="V128">
        <f>IF(AND(T128&lt;&gt;"",U128&lt;&gt;""),IF(U128-T128&lt;=0,"Falls Short",U128-T128),"")</f>
        <v/>
      </c>
      <c r="W128">
        <f>IF(AND(R128&lt;&gt;"",V128&lt;&gt;"Falls Short"),20*V128,"")</f>
        <v/>
      </c>
    </row>
    <row r="129" ht="15" customHeight="1" s="21">
      <c r="A129" s="48" t="inlineStr">
        <is>
          <t xml:space="preserve"> </t>
        </is>
      </c>
      <c r="B129" s="41" t="n"/>
      <c r="C129" s="41" t="n"/>
      <c r="D129" s="46" t="n"/>
      <c r="E129" s="41" t="n"/>
      <c r="F129" s="41" t="n"/>
      <c r="G129" s="41" t="n"/>
      <c r="H129" s="41" t="n"/>
      <c r="I129" s="48" t="inlineStr">
        <is>
          <t>12-DEC-25</t>
        </is>
      </c>
      <c r="J129" s="41" t="n"/>
      <c r="K129" s="48" t="inlineStr">
        <is>
          <t>Training C</t>
        </is>
      </c>
      <c r="L129" s="41" t="n"/>
      <c r="M129" s="48" t="inlineStr">
        <is>
          <t xml:space="preserve">C80 </t>
        </is>
      </c>
      <c r="N129" s="41" t="n"/>
      <c r="O129" s="41" t="n"/>
      <c r="Q129">
        <f>LEFT(I129,9)</f>
        <v/>
      </c>
      <c r="R129">
        <f>TRIM(B129)</f>
        <v/>
      </c>
      <c r="S129">
        <f>COUNTIF($X$1:$X$9,R129) &gt; 0</f>
        <v/>
      </c>
      <c r="T129">
        <f>IF(AND(S129=FALSE,LEN(R129)&gt;2),4,IF(S129=TRUE,INDEX($Y$1:$Y$9,MATCH(R129,$X$1:$X$9,0)),""))</f>
        <v/>
      </c>
      <c r="U129">
        <f>IF(R129&lt;&gt;"",IF(Q134="",0,MATCH(TRUE,INDEX(Q134:$Q$1100="",0),0)-1),"")</f>
        <v/>
      </c>
      <c r="V129">
        <f>IF(AND(T129&lt;&gt;"",U129&lt;&gt;""),IF(U129-T129&lt;=0,"Falls Short",U129-T129),"")</f>
        <v/>
      </c>
      <c r="W129">
        <f>IF(AND(R129&lt;&gt;"",V129&lt;&gt;"Falls Short"),20*V129,"")</f>
        <v/>
      </c>
    </row>
    <row r="130" ht="15" customHeight="1" s="21">
      <c r="A130" s="48" t="inlineStr">
        <is>
          <t xml:space="preserve"> </t>
        </is>
      </c>
      <c r="B130" s="41" t="n"/>
      <c r="C130" s="41" t="n"/>
      <c r="D130" s="46" t="n"/>
      <c r="E130" s="41" t="n"/>
      <c r="F130" s="41" t="n"/>
      <c r="G130" s="41" t="n"/>
      <c r="H130" s="41" t="n"/>
      <c r="I130" s="48" t="inlineStr">
        <is>
          <t>18-DEC-25</t>
        </is>
      </c>
      <c r="J130" s="41" t="n"/>
      <c r="K130" s="48" t="inlineStr">
        <is>
          <t>Training C</t>
        </is>
      </c>
      <c r="L130" s="41" t="n"/>
      <c r="M130" s="48" t="inlineStr">
        <is>
          <t xml:space="preserve">C80 </t>
        </is>
      </c>
      <c r="N130" s="41" t="n"/>
      <c r="O130" s="41" t="n"/>
      <c r="Q130">
        <f>LEFT(I130,9)</f>
        <v/>
      </c>
      <c r="R130">
        <f>TRIM(B130)</f>
        <v/>
      </c>
      <c r="S130">
        <f>COUNTIF($X$1:$X$9,R130) &gt; 0</f>
        <v/>
      </c>
      <c r="T130">
        <f>IF(AND(S130=FALSE,LEN(R130)&gt;2),4,IF(S130=TRUE,INDEX($Y$1:$Y$9,MATCH(R130,$X$1:$X$9,0)),""))</f>
        <v/>
      </c>
      <c r="U130">
        <f>IF(R130&lt;&gt;"",IF(Q135="",0,MATCH(TRUE,INDEX(Q135:$Q$1100="",0),0)-1),"")</f>
        <v/>
      </c>
      <c r="V130">
        <f>IF(AND(T130&lt;&gt;"",U130&lt;&gt;""),IF(U130-T130&lt;=0,"Falls Short",U130-T130),"")</f>
        <v/>
      </c>
      <c r="W130">
        <f>IF(AND(R130&lt;&gt;"",V130&lt;&gt;"Falls Short"),20*V130,"")</f>
        <v/>
      </c>
    </row>
    <row r="131" ht="15" customHeight="1" s="21">
      <c r="A131" s="48" t="inlineStr">
        <is>
          <t xml:space="preserve"> </t>
        </is>
      </c>
      <c r="B131" s="41" t="n"/>
      <c r="C131" s="41" t="n"/>
      <c r="D131" s="46" t="n"/>
      <c r="E131" s="41" t="n"/>
      <c r="F131" s="41" t="n"/>
      <c r="G131" s="41" t="n"/>
      <c r="H131" s="41" t="n"/>
      <c r="I131" s="48" t="inlineStr">
        <is>
          <t>19-DEC-25</t>
        </is>
      </c>
      <c r="J131" s="41" t="n"/>
      <c r="K131" s="48" t="inlineStr">
        <is>
          <t>Training C</t>
        </is>
      </c>
      <c r="L131" s="41" t="n"/>
      <c r="M131" s="48" t="inlineStr">
        <is>
          <t xml:space="preserve">C80 </t>
        </is>
      </c>
      <c r="N131" s="41" t="n"/>
      <c r="O131" s="41" t="n"/>
      <c r="Q131">
        <f>LEFT(I131,9)</f>
        <v/>
      </c>
      <c r="R131">
        <f>TRIM(B131)</f>
        <v/>
      </c>
      <c r="S131">
        <f>COUNTIF($X$1:$X$9,R131) &gt; 0</f>
        <v/>
      </c>
      <c r="T131">
        <f>IF(AND(S131=FALSE,LEN(R131)&gt;2),4,IF(S131=TRUE,INDEX($Y$1:$Y$9,MATCH(R131,$X$1:$X$9,0)),""))</f>
        <v/>
      </c>
      <c r="U131">
        <f>IF(R131&lt;&gt;"",IF(Q136="",0,MATCH(TRUE,INDEX(Q136:$Q$1100="",0),0)-1),"")</f>
        <v/>
      </c>
      <c r="V131">
        <f>IF(AND(T131&lt;&gt;"",U131&lt;&gt;""),IF(U131-T131&lt;=0,"Falls Short",U131-T131),"")</f>
        <v/>
      </c>
      <c r="W131">
        <f>IF(AND(R131&lt;&gt;"",V131&lt;&gt;"Falls Short"),20*V131,"")</f>
        <v/>
      </c>
    </row>
    <row r="132" ht="15" customHeight="1" s="21">
      <c r="A132" s="49" t="inlineStr">
        <is>
          <t xml:space="preserve"> </t>
        </is>
      </c>
      <c r="B132" s="41" t="n"/>
      <c r="C132" s="41" t="n"/>
      <c r="D132" s="41" t="n"/>
      <c r="E132" s="41" t="n"/>
      <c r="F132" s="41" t="n"/>
      <c r="G132" s="41" t="n"/>
      <c r="H132" s="41" t="n"/>
      <c r="I132" s="41" t="n"/>
      <c r="J132" s="41" t="n"/>
      <c r="K132" s="41" t="n"/>
      <c r="L132" s="41" t="n"/>
      <c r="M132" s="41" t="n"/>
      <c r="N132" s="41" t="n"/>
      <c r="O132" s="41" t="n"/>
      <c r="Q132">
        <f>LEFT(I132,9)</f>
        <v/>
      </c>
      <c r="R132">
        <f>TRIM(B132)</f>
        <v/>
      </c>
      <c r="S132">
        <f>COUNTIF($X$1:$X$9,R132) &gt; 0</f>
        <v/>
      </c>
      <c r="T132">
        <f>IF(AND(S132=FALSE,LEN(R132)&gt;2),4,IF(S132=TRUE,INDEX($Y$1:$Y$9,MATCH(R132,$X$1:$X$9,0)),""))</f>
        <v/>
      </c>
      <c r="U132">
        <f>IF(R132&lt;&gt;"",IF(Q137="",0,MATCH(TRUE,INDEX(Q137:$Q$1100="",0),0)-1),"")</f>
        <v/>
      </c>
      <c r="V132">
        <f>IF(AND(T132&lt;&gt;"",U132&lt;&gt;""),IF(U132-T132&lt;=0,"Falls Short",U132-T132),"")</f>
        <v/>
      </c>
      <c r="W132">
        <f>IF(AND(R132&lt;&gt;"",V132&lt;&gt;"Falls Short"),20*V132,"")</f>
        <v/>
      </c>
    </row>
    <row r="133" ht="21.8" customHeight="1" s="21">
      <c r="A133" s="49" t="inlineStr">
        <is>
          <t xml:space="preserve"> </t>
        </is>
      </c>
      <c r="B133" s="41" t="n"/>
      <c r="C133" s="41" t="n"/>
      <c r="D133" s="41" t="n"/>
      <c r="E133" s="41" t="n"/>
      <c r="F133" s="41" t="n"/>
      <c r="G133" s="41" t="n"/>
      <c r="H133" s="41" t="n"/>
      <c r="I133" s="41" t="n"/>
      <c r="J133" s="41" t="n"/>
      <c r="K133" s="41" t="n"/>
      <c r="L133" s="41" t="n"/>
      <c r="M133" s="41" t="n"/>
      <c r="N133" s="41" t="n"/>
      <c r="O133" s="41" t="n"/>
      <c r="Q133">
        <f>LEFT(I133,9)</f>
        <v/>
      </c>
      <c r="R133">
        <f>TRIM(B133)</f>
        <v/>
      </c>
      <c r="S133">
        <f>COUNTIF($X$1:$X$9,R133) &gt; 0</f>
        <v/>
      </c>
      <c r="T133">
        <f>IF(AND(S133=FALSE,LEN(R133)&gt;2),4,IF(S133=TRUE,INDEX($Y$1:$Y$9,MATCH(R133,$X$1:$X$9,0)),""))</f>
        <v/>
      </c>
      <c r="U133">
        <f>IF(R133&lt;&gt;"",IF(Q138="",0,MATCH(TRUE,INDEX(Q138:$Q$1100="",0),0)-1),"")</f>
        <v/>
      </c>
      <c r="V133">
        <f>IF(AND(T133&lt;&gt;"",U133&lt;&gt;""),IF(U133-T133&lt;=0,"Falls Short",U133-T133),"")</f>
        <v/>
      </c>
      <c r="W133">
        <f>IF(AND(R133&lt;&gt;"",V133&lt;&gt;"Falls Short"),20*V133,"")</f>
        <v/>
      </c>
    </row>
    <row r="134" ht="15" customHeight="1" s="21">
      <c r="A134" s="43" t="inlineStr">
        <is>
          <t xml:space="preserve"> </t>
        </is>
      </c>
      <c r="B134" s="41" t="n"/>
      <c r="C134" s="41" t="n"/>
      <c r="D134" s="41" t="n"/>
      <c r="E134" s="41" t="n"/>
      <c r="F134" s="41" t="n"/>
      <c r="G134" s="41" t="n"/>
      <c r="H134" s="41" t="n"/>
      <c r="I134" s="41" t="n"/>
      <c r="J134" s="41" t="n"/>
      <c r="K134" s="41" t="n"/>
      <c r="L134" s="41" t="n"/>
      <c r="M134" s="41" t="n"/>
      <c r="N134" s="41" t="n"/>
      <c r="O134" s="41" t="n"/>
      <c r="Q134">
        <f>LEFT(I134,9)</f>
        <v/>
      </c>
      <c r="R134">
        <f>TRIM(B134)</f>
        <v/>
      </c>
      <c r="S134">
        <f>COUNTIF($X$1:$X$9,R134) &gt; 0</f>
        <v/>
      </c>
      <c r="T134">
        <f>IF(AND(S134=FALSE,LEN(R134)&gt;2),4,IF(S134=TRUE,INDEX($Y$1:$Y$9,MATCH(R134,$X$1:$X$9,0)),""))</f>
        <v/>
      </c>
      <c r="U134">
        <f>IF(R134&lt;&gt;"",IF(Q139="",0,MATCH(TRUE,INDEX(Q139:$Q$1100="",0),0)-1),"")</f>
        <v/>
      </c>
      <c r="V134">
        <f>IF(AND(T134&lt;&gt;"",U134&lt;&gt;""),IF(U134-T134&lt;=0,"Falls Short",U134-T134),"")</f>
        <v/>
      </c>
      <c r="W134">
        <f>IF(AND(R134&lt;&gt;"",V134&lt;&gt;"Falls Short"),20*V134,"")</f>
        <v/>
      </c>
    </row>
    <row r="135" ht="15" customHeight="1" s="21">
      <c r="A135" s="44" t="n"/>
      <c r="B135" s="44" t="n"/>
      <c r="C135" s="44" t="n"/>
      <c r="D135" s="41" t="n"/>
      <c r="E135" s="41" t="n"/>
      <c r="F135" s="41" t="n"/>
      <c r="G135" s="44" t="n"/>
      <c r="H135" s="45" t="inlineStr">
        <is>
          <t>Month</t>
        </is>
      </c>
      <c r="I135" s="41" t="n"/>
      <c r="J135" s="45" t="inlineStr">
        <is>
          <t>Days</t>
        </is>
      </c>
      <c r="K135" s="41" t="n"/>
      <c r="L135" s="41" t="n"/>
      <c r="M135" s="45" t="inlineStr">
        <is>
          <t>Total</t>
        </is>
      </c>
      <c r="N135" s="41" t="n"/>
      <c r="O135" s="41" t="n"/>
      <c r="Q135">
        <f>LEFT(I135,9)</f>
        <v/>
      </c>
      <c r="R135">
        <f>TRIM(B135)</f>
        <v/>
      </c>
      <c r="S135">
        <f>COUNTIF($X$1:$X$9,R135) &gt; 0</f>
        <v/>
      </c>
      <c r="T135">
        <f>IF(AND(S135=FALSE,LEN(R135)&gt;2),4,IF(S135=TRUE,INDEX($Y$1:$Y$9,MATCH(R135,$X$1:$X$9,0)),""))</f>
        <v/>
      </c>
      <c r="U135">
        <f>IF(R135&lt;&gt;"",IF(Q140="",0,MATCH(TRUE,INDEX(Q140:$Q$1100="",0),0)-1),"")</f>
        <v/>
      </c>
      <c r="V135">
        <f>IF(AND(T135&lt;&gt;"",U135&lt;&gt;""),IF(U135-T135&lt;=0,"Falls Short",U135-T135),"")</f>
        <v/>
      </c>
      <c r="W135">
        <f>IF(AND(R135&lt;&gt;"",V135&lt;&gt;"Falls Short"),20*V135,"")</f>
        <v/>
      </c>
    </row>
    <row r="136" ht="15" customHeight="1" s="21">
      <c r="A136" s="46" t="inlineStr">
        <is>
          <t>Job Role X</t>
        </is>
      </c>
      <c r="B136" s="42" t="inlineStr">
        <is>
          <t>ADF</t>
        </is>
      </c>
      <c r="C136" s="42" t="inlineStr">
        <is>
          <t xml:space="preserve">   DRACO LAMBDA</t>
        </is>
      </c>
      <c r="D136" s="41" t="n"/>
      <c r="E136" s="41" t="n"/>
      <c r="F136" s="41" t="n"/>
      <c r="G136" s="42" t="inlineStr">
        <is>
          <t xml:space="preserve">10045       </t>
        </is>
      </c>
      <c r="H136" s="47" t="n"/>
      <c r="I136" s="41" t="n"/>
      <c r="J136" s="47" t="n"/>
      <c r="K136" s="41" t="n"/>
      <c r="L136" s="41" t="n"/>
      <c r="M136" s="47" t="n"/>
      <c r="N136" s="41" t="n"/>
      <c r="O136" s="41" t="n"/>
      <c r="Q136">
        <f>LEFT(I136,9)</f>
        <v/>
      </c>
      <c r="R136">
        <f>TRIM(B136)</f>
        <v/>
      </c>
      <c r="S136">
        <f>COUNTIF($X$1:$X$9,R136) &gt; 0</f>
        <v/>
      </c>
      <c r="T136">
        <f>IF(AND(S136=FALSE,LEN(R136)&gt;2),4,IF(S136=TRUE,INDEX($Y$1:$Y$9,MATCH(R136,$X$1:$X$9,0)),""))</f>
        <v/>
      </c>
      <c r="U136">
        <f>IF(R136&lt;&gt;"",IF(Q141="",0,MATCH(TRUE,INDEX(Q141:$Q$1100="",0),0)-1),"")</f>
        <v/>
      </c>
      <c r="V136">
        <f>IF(AND(T136&lt;&gt;"",U136&lt;&gt;""),IF(U136-T136&lt;=0,"Falls Short",U136-T136),"")</f>
        <v/>
      </c>
      <c r="W136">
        <f>IF(AND(R136&lt;&gt;"",V136&lt;&gt;"Falls Short"),20*V136,"")</f>
        <v/>
      </c>
    </row>
    <row r="137" ht="15" customHeight="1" s="21">
      <c r="A137" s="42" t="n"/>
      <c r="B137" s="46" t="n"/>
      <c r="C137" s="46" t="n"/>
      <c r="D137" s="41" t="n"/>
      <c r="E137" s="41" t="n"/>
      <c r="F137" s="41" t="n"/>
      <c r="G137" s="46" t="n"/>
      <c r="H137" s="46" t="n"/>
      <c r="I137" s="41" t="n"/>
      <c r="J137" s="46" t="n"/>
      <c r="K137" s="41" t="n"/>
      <c r="L137" s="41" t="n"/>
      <c r="M137" s="48" t="inlineStr">
        <is>
          <t>1</t>
        </is>
      </c>
      <c r="N137" s="41" t="n"/>
      <c r="O137" s="41" t="n"/>
      <c r="Q137">
        <f>LEFT(I137,9)</f>
        <v/>
      </c>
      <c r="R137">
        <f>TRIM(B137)</f>
        <v/>
      </c>
      <c r="S137">
        <f>COUNTIF($X$1:$X$9,R137) &gt; 0</f>
        <v/>
      </c>
      <c r="T137">
        <f>IF(AND(S137=FALSE,LEN(R137)&gt;2),4,IF(S137=TRUE,INDEX($Y$1:$Y$9,MATCH(R137,$X$1:$X$9,0)),""))</f>
        <v/>
      </c>
      <c r="U137">
        <f>IF(R137&lt;&gt;"",IF(Q142="",0,MATCH(TRUE,INDEX(Q142:$Q$1100="",0),0)-1),"")</f>
        <v/>
      </c>
      <c r="V137">
        <f>IF(AND(T137&lt;&gt;"",U137&lt;&gt;""),IF(U137-T137&lt;=0,"Falls Short",U137-T137),"")</f>
        <v/>
      </c>
      <c r="W137">
        <f>IF(AND(R137&lt;&gt;"",V137&lt;&gt;"Falls Short"),20*V137,"")</f>
        <v/>
      </c>
    </row>
    <row r="138" ht="15" customHeight="1" s="21">
      <c r="A138" s="43" t="inlineStr">
        <is>
          <t xml:space="preserve"> </t>
        </is>
      </c>
      <c r="B138" s="41" t="n"/>
      <c r="C138" s="41" t="n"/>
      <c r="D138" s="41" t="n"/>
      <c r="E138" s="41" t="n"/>
      <c r="F138" s="41" t="n"/>
      <c r="G138" s="41" t="n"/>
      <c r="H138" s="41" t="n"/>
      <c r="I138" s="41" t="n"/>
      <c r="J138" s="41" t="n"/>
      <c r="K138" s="41" t="n"/>
      <c r="L138" s="41" t="n"/>
      <c r="M138" s="41" t="n"/>
      <c r="N138" s="41" t="n"/>
      <c r="O138" s="41" t="n"/>
      <c r="Q138">
        <f>LEFT(I138,9)</f>
        <v/>
      </c>
      <c r="R138">
        <f>TRIM(B138)</f>
        <v/>
      </c>
      <c r="S138">
        <f>COUNTIF($X$1:$X$9,R138) &gt; 0</f>
        <v/>
      </c>
      <c r="T138">
        <f>IF(AND(S138=FALSE,LEN(R138)&gt;2),4,IF(S138=TRUE,INDEX($Y$1:$Y$9,MATCH(R138,$X$1:$X$9,0)),""))</f>
        <v/>
      </c>
      <c r="U138">
        <f>IF(R138&lt;&gt;"",IF(Q143="",0,MATCH(TRUE,INDEX(Q143:$Q$1100="",0),0)-1),"")</f>
        <v/>
      </c>
      <c r="V138">
        <f>IF(AND(T138&lt;&gt;"",U138&lt;&gt;""),IF(U138-T138&lt;=0,"Falls Short",U138-T138),"")</f>
        <v/>
      </c>
      <c r="W138">
        <f>IF(AND(R138&lt;&gt;"",V138&lt;&gt;"Falls Short"),20*V138,"")</f>
        <v/>
      </c>
    </row>
    <row r="139" ht="15" customHeight="1" s="21">
      <c r="A139" s="46" t="n"/>
      <c r="B139" s="41" t="n"/>
      <c r="C139" s="41" t="n"/>
      <c r="D139" s="41" t="n"/>
      <c r="E139" s="46" t="n"/>
      <c r="F139" s="41" t="n"/>
      <c r="G139" s="41" t="n"/>
      <c r="H139" s="48" t="inlineStr">
        <is>
          <t>12 / 2025</t>
        </is>
      </c>
      <c r="I139" s="41" t="n"/>
      <c r="J139" s="48" t="inlineStr">
        <is>
          <t>1</t>
        </is>
      </c>
      <c r="K139" s="46" t="n"/>
      <c r="L139" s="41" t="n"/>
      <c r="M139" s="41" t="n"/>
      <c r="N139" s="41" t="n"/>
      <c r="O139" s="41" t="n"/>
      <c r="Q139">
        <f>LEFT(I139,9)</f>
        <v/>
      </c>
      <c r="R139">
        <f>TRIM(B139)</f>
        <v/>
      </c>
      <c r="S139">
        <f>COUNTIF($X$1:$X$9,R139) &gt; 0</f>
        <v/>
      </c>
      <c r="T139">
        <f>IF(AND(S139=FALSE,LEN(R139)&gt;2),4,IF(S139=TRUE,INDEX($Y$1:$Y$9,MATCH(R139,$X$1:$X$9,0)),""))</f>
        <v/>
      </c>
      <c r="U139">
        <f>IF(R139&lt;&gt;"",IF(Q144="",0,MATCH(TRUE,INDEX(Q144:$Q$1100="",0),0)-1),"")</f>
        <v/>
      </c>
      <c r="V139">
        <f>IF(AND(T139&lt;&gt;"",U139&lt;&gt;""),IF(U139-T139&lt;=0,"Falls Short",U139-T139),"")</f>
        <v/>
      </c>
      <c r="W139">
        <f>IF(AND(R139&lt;&gt;"",V139&lt;&gt;"Falls Short"),20*V139,"")</f>
        <v/>
      </c>
    </row>
    <row r="140" ht="15" customHeight="1" s="21">
      <c r="A140" s="43" t="inlineStr">
        <is>
          <t xml:space="preserve"> </t>
        </is>
      </c>
      <c r="B140" s="41" t="n"/>
      <c r="C140" s="41" t="n"/>
      <c r="D140" s="41" t="n"/>
      <c r="E140" s="41" t="n"/>
      <c r="F140" s="41" t="n"/>
      <c r="G140" s="41" t="n"/>
      <c r="H140" s="41" t="n"/>
      <c r="I140" s="41" t="n"/>
      <c r="J140" s="41" t="n"/>
      <c r="K140" s="41" t="n"/>
      <c r="L140" s="41" t="n"/>
      <c r="M140" s="41" t="n"/>
      <c r="N140" s="41" t="n"/>
      <c r="O140" s="41" t="n"/>
      <c r="Q140">
        <f>LEFT(I140,9)</f>
        <v/>
      </c>
      <c r="R140">
        <f>TRIM(B140)</f>
        <v/>
      </c>
      <c r="S140">
        <f>COUNTIF($X$1:$X$9,R140) &gt; 0</f>
        <v/>
      </c>
      <c r="T140">
        <f>IF(AND(S140=FALSE,LEN(R140)&gt;2),4,IF(S140=TRUE,INDEX($Y$1:$Y$9,MATCH(R140,$X$1:$X$9,0)),""))</f>
        <v/>
      </c>
      <c r="U140">
        <f>IF(R140&lt;&gt;"",IF(Q145="",0,MATCH(TRUE,INDEX(Q145:$Q$1100="",0),0)-1),"")</f>
        <v/>
      </c>
      <c r="V140">
        <f>IF(AND(T140&lt;&gt;"",U140&lt;&gt;""),IF(U140-T140&lt;=0,"Falls Short",U140-T140),"")</f>
        <v/>
      </c>
      <c r="W140">
        <f>IF(AND(R140&lt;&gt;"",V140&lt;&gt;"Falls Short"),20*V140,"")</f>
        <v/>
      </c>
    </row>
    <row r="141" ht="15" customHeight="1" s="21">
      <c r="A141" s="48" t="inlineStr">
        <is>
          <t xml:space="preserve"> </t>
        </is>
      </c>
      <c r="B141" s="41" t="n"/>
      <c r="C141" s="41" t="n"/>
      <c r="D141" s="46" t="n"/>
      <c r="E141" s="41" t="n"/>
      <c r="F141" s="41" t="n"/>
      <c r="G141" s="41" t="n"/>
      <c r="H141" s="41" t="n"/>
      <c r="I141" s="48" t="inlineStr">
        <is>
          <t>27-DEC-25</t>
        </is>
      </c>
      <c r="J141" s="41" t="n"/>
      <c r="K141" s="48" t="inlineStr">
        <is>
          <t>Training C</t>
        </is>
      </c>
      <c r="L141" s="41" t="n"/>
      <c r="M141" s="48" t="inlineStr">
        <is>
          <t xml:space="preserve">CDI </t>
        </is>
      </c>
      <c r="N141" s="41" t="n"/>
      <c r="O141" s="41" t="n"/>
      <c r="Q141">
        <f>LEFT(I141,9)</f>
        <v/>
      </c>
      <c r="R141">
        <f>TRIM(B141)</f>
        <v/>
      </c>
      <c r="S141">
        <f>COUNTIF($X$1:$X$9,R141) &gt; 0</f>
        <v/>
      </c>
      <c r="T141">
        <f>IF(AND(S141=FALSE,LEN(R141)&gt;2),4,IF(S141=TRUE,INDEX($Y$1:$Y$9,MATCH(R141,$X$1:$X$9,0)),""))</f>
        <v/>
      </c>
      <c r="U141">
        <f>IF(R141&lt;&gt;"",IF(Q146="",0,MATCH(TRUE,INDEX(Q146:$Q$1100="",0),0)-1),"")</f>
        <v/>
      </c>
      <c r="V141">
        <f>IF(AND(T141&lt;&gt;"",U141&lt;&gt;""),IF(U141-T141&lt;=0,"Falls Short",U141-T141),"")</f>
        <v/>
      </c>
      <c r="W141">
        <f>IF(AND(R141&lt;&gt;"",V141&lt;&gt;"Falls Short"),20*V141,"")</f>
        <v/>
      </c>
    </row>
    <row r="142" ht="15" customHeight="1" s="21">
      <c r="A142" s="49" t="inlineStr">
        <is>
          <t xml:space="preserve"> </t>
        </is>
      </c>
      <c r="B142" s="41" t="n"/>
      <c r="C142" s="41" t="n"/>
      <c r="D142" s="41" t="n"/>
      <c r="E142" s="41" t="n"/>
      <c r="F142" s="41" t="n"/>
      <c r="G142" s="41" t="n"/>
      <c r="H142" s="41" t="n"/>
      <c r="I142" s="41" t="n"/>
      <c r="J142" s="41" t="n"/>
      <c r="K142" s="41" t="n"/>
      <c r="L142" s="41" t="n"/>
      <c r="M142" s="41" t="n"/>
      <c r="N142" s="41" t="n"/>
      <c r="O142" s="41" t="n"/>
      <c r="Q142">
        <f>LEFT(I142,9)</f>
        <v/>
      </c>
      <c r="R142">
        <f>TRIM(B142)</f>
        <v/>
      </c>
      <c r="S142">
        <f>COUNTIF($X$1:$X$9,R142) &gt; 0</f>
        <v/>
      </c>
      <c r="T142">
        <f>IF(AND(S142=FALSE,LEN(R142)&gt;2),4,IF(S142=TRUE,INDEX($Y$1:$Y$9,MATCH(R142,$X$1:$X$9,0)),""))</f>
        <v/>
      </c>
      <c r="U142">
        <f>IF(R142&lt;&gt;"",IF(Q147="",0,MATCH(TRUE,INDEX(Q147:$Q$1100="",0),0)-1),"")</f>
        <v/>
      </c>
      <c r="V142">
        <f>IF(AND(T142&lt;&gt;"",U142&lt;&gt;""),IF(U142-T142&lt;=0,"Falls Short",U142-T142),"")</f>
        <v/>
      </c>
      <c r="W142">
        <f>IF(AND(R142&lt;&gt;"",V142&lt;&gt;"Falls Short"),20*V142,"")</f>
        <v/>
      </c>
    </row>
    <row r="143" ht="15" customHeight="1" s="21">
      <c r="A143" s="49" t="inlineStr">
        <is>
          <t xml:space="preserve"> </t>
        </is>
      </c>
      <c r="B143" s="41" t="n"/>
      <c r="C143" s="41" t="n"/>
      <c r="D143" s="41" t="n"/>
      <c r="E143" s="41" t="n"/>
      <c r="F143" s="41" t="n"/>
      <c r="G143" s="41" t="n"/>
      <c r="H143" s="41" t="n"/>
      <c r="I143" s="41" t="n"/>
      <c r="J143" s="41" t="n"/>
      <c r="K143" s="41" t="n"/>
      <c r="L143" s="41" t="n"/>
      <c r="M143" s="41" t="n"/>
      <c r="N143" s="41" t="n"/>
      <c r="O143" s="41" t="n"/>
      <c r="Q143">
        <f>LEFT(I143,9)</f>
        <v/>
      </c>
      <c r="R143">
        <f>TRIM(B143)</f>
        <v/>
      </c>
      <c r="S143">
        <f>COUNTIF($X$1:$X$9,R143) &gt; 0</f>
        <v/>
      </c>
      <c r="T143">
        <f>IF(AND(S143=FALSE,LEN(R143)&gt;2),4,IF(S143=TRUE,INDEX($Y$1:$Y$9,MATCH(R143,$X$1:$X$9,0)),""))</f>
        <v/>
      </c>
      <c r="U143">
        <f>IF(R143&lt;&gt;"",IF(Q148="",0,MATCH(TRUE,INDEX(Q148:$Q$1100="",0),0)-1),"")</f>
        <v/>
      </c>
      <c r="V143">
        <f>IF(AND(T143&lt;&gt;"",U143&lt;&gt;""),IF(U143-T143&lt;=0,"Falls Short",U143-T143),"")</f>
        <v/>
      </c>
      <c r="W143">
        <f>IF(AND(R143&lt;&gt;"",V143&lt;&gt;"Falls Short"),20*V143,"")</f>
        <v/>
      </c>
    </row>
    <row r="144" ht="15" customHeight="1" s="21">
      <c r="A144" s="43" t="inlineStr">
        <is>
          <t xml:space="preserve"> </t>
        </is>
      </c>
      <c r="B144" s="41" t="n"/>
      <c r="C144" s="41" t="n"/>
      <c r="D144" s="41" t="n"/>
      <c r="E144" s="41" t="n"/>
      <c r="F144" s="41" t="n"/>
      <c r="G144" s="41" t="n"/>
      <c r="H144" s="41" t="n"/>
      <c r="I144" s="41" t="n"/>
      <c r="J144" s="41" t="n"/>
      <c r="K144" s="41" t="n"/>
      <c r="L144" s="41" t="n"/>
      <c r="M144" s="41" t="n"/>
      <c r="N144" s="41" t="n"/>
      <c r="O144" s="41" t="n"/>
      <c r="Q144">
        <f>LEFT(I144,9)</f>
        <v/>
      </c>
      <c r="R144">
        <f>TRIM(B144)</f>
        <v/>
      </c>
      <c r="S144">
        <f>COUNTIF($X$1:$X$9,R144) &gt; 0</f>
        <v/>
      </c>
      <c r="T144">
        <f>IF(AND(S144=FALSE,LEN(R144)&gt;2),4,IF(S144=TRUE,INDEX($Y$1:$Y$9,MATCH(R144,$X$1:$X$9,0)),""))</f>
        <v/>
      </c>
      <c r="U144">
        <f>IF(R144&lt;&gt;"",IF(Q149="",0,MATCH(TRUE,INDEX(Q149:$Q$1100="",0),0)-1),"")</f>
        <v/>
      </c>
      <c r="V144">
        <f>IF(AND(T144&lt;&gt;"",U144&lt;&gt;""),IF(U144-T144&lt;=0,"Falls Short",U144-T144),"")</f>
        <v/>
      </c>
      <c r="W144">
        <f>IF(AND(R144&lt;&gt;"",V144&lt;&gt;"Falls Short"),20*V144,"")</f>
        <v/>
      </c>
    </row>
    <row r="145" ht="15" customHeight="1" s="21">
      <c r="A145" s="44" t="n"/>
      <c r="B145" s="44" t="n"/>
      <c r="C145" s="44" t="n"/>
      <c r="D145" s="41" t="n"/>
      <c r="E145" s="41" t="n"/>
      <c r="F145" s="41" t="n"/>
      <c r="G145" s="44" t="n"/>
      <c r="H145" s="45" t="inlineStr">
        <is>
          <t>Month</t>
        </is>
      </c>
      <c r="I145" s="41" t="n"/>
      <c r="J145" s="45" t="inlineStr">
        <is>
          <t>Days</t>
        </is>
      </c>
      <c r="K145" s="41" t="n"/>
      <c r="L145" s="41" t="n"/>
      <c r="M145" s="45" t="inlineStr">
        <is>
          <t>Total</t>
        </is>
      </c>
      <c r="N145" s="41" t="n"/>
      <c r="O145" s="41" t="n"/>
      <c r="Q145">
        <f>LEFT(I145,9)</f>
        <v/>
      </c>
      <c r="R145">
        <f>TRIM(B145)</f>
        <v/>
      </c>
      <c r="S145">
        <f>COUNTIF($X$1:$X$9,R145) &gt; 0</f>
        <v/>
      </c>
      <c r="T145">
        <f>IF(AND(S145=FALSE,LEN(R145)&gt;2),4,IF(S145=TRUE,INDEX($Y$1:$Y$9,MATCH(R145,$X$1:$X$9,0)),""))</f>
        <v/>
      </c>
      <c r="U145">
        <f>IF(R145&lt;&gt;"",IF(Q150="",0,MATCH(TRUE,INDEX(Q150:$Q$1100="",0),0)-1),"")</f>
        <v/>
      </c>
      <c r="V145">
        <f>IF(AND(T145&lt;&gt;"",U145&lt;&gt;""),IF(U145-T145&lt;=0,"Falls Short",U145-T145),"")</f>
        <v/>
      </c>
      <c r="W145">
        <f>IF(AND(R145&lt;&gt;"",V145&lt;&gt;"Falls Short"),20*V145,"")</f>
        <v/>
      </c>
    </row>
    <row r="146" ht="15" customHeight="1" s="21">
      <c r="A146" s="46" t="inlineStr">
        <is>
          <t>Job Role X</t>
        </is>
      </c>
      <c r="B146" s="42" t="inlineStr">
        <is>
          <t>APT</t>
        </is>
      </c>
      <c r="C146" s="42" t="inlineStr">
        <is>
          <t xml:space="preserve">   TAURUS TAU</t>
        </is>
      </c>
      <c r="D146" s="41" t="n"/>
      <c r="E146" s="41" t="n"/>
      <c r="F146" s="41" t="n"/>
      <c r="G146" s="42" t="inlineStr">
        <is>
          <t xml:space="preserve">10021       </t>
        </is>
      </c>
      <c r="H146" s="47" t="n"/>
      <c r="I146" s="41" t="n"/>
      <c r="J146" s="47" t="n"/>
      <c r="K146" s="41" t="n"/>
      <c r="L146" s="41" t="n"/>
      <c r="M146" s="47" t="n"/>
      <c r="N146" s="41" t="n"/>
      <c r="O146" s="41" t="n"/>
      <c r="Q146">
        <f>LEFT(I146,9)</f>
        <v/>
      </c>
      <c r="R146">
        <f>TRIM(B146)</f>
        <v/>
      </c>
      <c r="S146">
        <f>COUNTIF($X$1:$X$9,R146) &gt; 0</f>
        <v/>
      </c>
      <c r="T146">
        <f>IF(AND(S146=FALSE,LEN(R146)&gt;2),4,IF(S146=TRUE,INDEX($Y$1:$Y$9,MATCH(R146,$X$1:$X$9,0)),""))</f>
        <v/>
      </c>
      <c r="U146">
        <f>IF(R146&lt;&gt;"",IF(Q151="",0,MATCH(TRUE,INDEX(Q151:$Q$1100="",0),0)-1),"")</f>
        <v/>
      </c>
      <c r="V146">
        <f>IF(AND(T146&lt;&gt;"",U146&lt;&gt;""),IF(U146-T146&lt;=0,"Falls Short",U146-T146),"")</f>
        <v/>
      </c>
      <c r="W146">
        <f>IF(AND(R146&lt;&gt;"",V146&lt;&gt;"Falls Short"),20*V146,"")</f>
        <v/>
      </c>
    </row>
    <row r="147" ht="15" customHeight="1" s="21">
      <c r="A147" s="42" t="n"/>
      <c r="B147" s="46" t="n"/>
      <c r="C147" s="46" t="n"/>
      <c r="D147" s="41" t="n"/>
      <c r="E147" s="41" t="n"/>
      <c r="F147" s="41" t="n"/>
      <c r="G147" s="46" t="n"/>
      <c r="H147" s="46" t="n"/>
      <c r="I147" s="41" t="n"/>
      <c r="J147" s="46" t="n"/>
      <c r="K147" s="41" t="n"/>
      <c r="L147" s="41" t="n"/>
      <c r="M147" s="48" t="inlineStr">
        <is>
          <t>2</t>
        </is>
      </c>
      <c r="N147" s="41" t="n"/>
      <c r="O147" s="41" t="n"/>
      <c r="Q147">
        <f>LEFT(I147,9)</f>
        <v/>
      </c>
      <c r="R147">
        <f>TRIM(B147)</f>
        <v/>
      </c>
      <c r="S147">
        <f>COUNTIF($X$1:$X$9,R147) &gt; 0</f>
        <v/>
      </c>
      <c r="T147">
        <f>IF(AND(S147=FALSE,LEN(R147)&gt;2),4,IF(S147=TRUE,INDEX($Y$1:$Y$9,MATCH(R147,$X$1:$X$9,0)),""))</f>
        <v/>
      </c>
      <c r="U147">
        <f>IF(R147&lt;&gt;"",IF(Q152="",0,MATCH(TRUE,INDEX(Q152:$Q$1100="",0),0)-1),"")</f>
        <v/>
      </c>
      <c r="V147">
        <f>IF(AND(T147&lt;&gt;"",U147&lt;&gt;""),IF(U147-T147&lt;=0,"Falls Short",U147-T147),"")</f>
        <v/>
      </c>
      <c r="W147">
        <f>IF(AND(R147&lt;&gt;"",V147&lt;&gt;"Falls Short"),20*V147,"")</f>
        <v/>
      </c>
    </row>
    <row r="148" ht="15" customHeight="1" s="21">
      <c r="A148" s="43" t="inlineStr">
        <is>
          <t xml:space="preserve"> </t>
        </is>
      </c>
      <c r="B148" s="41" t="n"/>
      <c r="C148" s="41" t="n"/>
      <c r="D148" s="41" t="n"/>
      <c r="E148" s="41" t="n"/>
      <c r="F148" s="41" t="n"/>
      <c r="G148" s="41" t="n"/>
      <c r="H148" s="41" t="n"/>
      <c r="I148" s="41" t="n"/>
      <c r="J148" s="41" t="n"/>
      <c r="K148" s="41" t="n"/>
      <c r="L148" s="41" t="n"/>
      <c r="M148" s="41" t="n"/>
      <c r="N148" s="41" t="n"/>
      <c r="O148" s="41" t="n"/>
      <c r="Q148">
        <f>LEFT(I148,9)</f>
        <v/>
      </c>
      <c r="R148">
        <f>TRIM(B148)</f>
        <v/>
      </c>
      <c r="S148">
        <f>COUNTIF($X$1:$X$9,R148) &gt; 0</f>
        <v/>
      </c>
      <c r="T148">
        <f>IF(AND(S148=FALSE,LEN(R148)&gt;2),4,IF(S148=TRUE,INDEX($Y$1:$Y$9,MATCH(R148,$X$1:$X$9,0)),""))</f>
        <v/>
      </c>
      <c r="U148">
        <f>IF(R148&lt;&gt;"",IF(Q153="",0,MATCH(TRUE,INDEX(Q153:$Q$1100="",0),0)-1),"")</f>
        <v/>
      </c>
      <c r="V148">
        <f>IF(AND(T148&lt;&gt;"",U148&lt;&gt;""),IF(U148-T148&lt;=0,"Falls Short",U148-T148),"")</f>
        <v/>
      </c>
      <c r="W148">
        <f>IF(AND(R148&lt;&gt;"",V148&lt;&gt;"Falls Short"),20*V148,"")</f>
        <v/>
      </c>
    </row>
    <row r="149" ht="15" customHeight="1" s="21">
      <c r="A149" s="46" t="n"/>
      <c r="B149" s="41" t="n"/>
      <c r="C149" s="41" t="n"/>
      <c r="D149" s="41" t="n"/>
      <c r="E149" s="46" t="n"/>
      <c r="F149" s="41" t="n"/>
      <c r="G149" s="41" t="n"/>
      <c r="H149" s="48" t="inlineStr">
        <is>
          <t>12 / 2025</t>
        </is>
      </c>
      <c r="I149" s="41" t="n"/>
      <c r="J149" s="48" t="inlineStr">
        <is>
          <t>2</t>
        </is>
      </c>
      <c r="K149" s="46" t="n"/>
      <c r="L149" s="41" t="n"/>
      <c r="M149" s="41" t="n"/>
      <c r="N149" s="41" t="n"/>
      <c r="O149" s="41" t="n"/>
      <c r="Q149">
        <f>LEFT(I149,9)</f>
        <v/>
      </c>
      <c r="R149">
        <f>TRIM(B149)</f>
        <v/>
      </c>
      <c r="S149">
        <f>COUNTIF($X$1:$X$9,R149) &gt; 0</f>
        <v/>
      </c>
      <c r="T149">
        <f>IF(AND(S149=FALSE,LEN(R149)&gt;2),4,IF(S149=TRUE,INDEX($Y$1:$Y$9,MATCH(R149,$X$1:$X$9,0)),""))</f>
        <v/>
      </c>
      <c r="U149">
        <f>IF(R149&lt;&gt;"",IF(Q154="",0,MATCH(TRUE,INDEX(Q154:$Q$1100="",0),0)-1),"")</f>
        <v/>
      </c>
      <c r="V149">
        <f>IF(AND(T149&lt;&gt;"",U149&lt;&gt;""),IF(U149-T149&lt;=0,"Falls Short",U149-T149),"")</f>
        <v/>
      </c>
      <c r="W149">
        <f>IF(AND(R149&lt;&gt;"",V149&lt;&gt;"Falls Short"),20*V149,"")</f>
        <v/>
      </c>
    </row>
    <row r="150" ht="21.8" customHeight="1" s="21">
      <c r="A150" s="43" t="inlineStr">
        <is>
          <t xml:space="preserve"> </t>
        </is>
      </c>
      <c r="B150" s="41" t="n"/>
      <c r="C150" s="41" t="n"/>
      <c r="D150" s="41" t="n"/>
      <c r="E150" s="41" t="n"/>
      <c r="F150" s="41" t="n"/>
      <c r="G150" s="41" t="n"/>
      <c r="H150" s="41" t="n"/>
      <c r="I150" s="41" t="n"/>
      <c r="J150" s="41" t="n"/>
      <c r="K150" s="41" t="n"/>
      <c r="L150" s="41" t="n"/>
      <c r="M150" s="41" t="n"/>
      <c r="N150" s="41" t="n"/>
      <c r="O150" s="41" t="n"/>
      <c r="Q150">
        <f>LEFT(I150,9)</f>
        <v/>
      </c>
      <c r="R150">
        <f>TRIM(B150)</f>
        <v/>
      </c>
      <c r="S150">
        <f>COUNTIF($X$1:$X$9,R150) &gt; 0</f>
        <v/>
      </c>
      <c r="T150">
        <f>IF(AND(S150=FALSE,LEN(R150)&gt;2),4,IF(S150=TRUE,INDEX($Y$1:$Y$9,MATCH(R150,$X$1:$X$9,0)),""))</f>
        <v/>
      </c>
      <c r="U150">
        <f>IF(R150&lt;&gt;"",IF(Q155="",0,MATCH(TRUE,INDEX(Q155:$Q$1100="",0),0)-1),"")</f>
        <v/>
      </c>
      <c r="V150">
        <f>IF(AND(T150&lt;&gt;"",U150&lt;&gt;""),IF(U150-T150&lt;=0,"Falls Short",U150-T150),"")</f>
        <v/>
      </c>
      <c r="W150">
        <f>IF(AND(R150&lt;&gt;"",V150&lt;&gt;"Falls Short"),20*V150,"")</f>
        <v/>
      </c>
    </row>
    <row r="151" ht="15" customHeight="1" s="21">
      <c r="A151" s="48" t="inlineStr">
        <is>
          <t xml:space="preserve"> </t>
        </is>
      </c>
      <c r="B151" s="41" t="n"/>
      <c r="C151" s="41" t="n"/>
      <c r="D151" s="46" t="n"/>
      <c r="E151" s="41" t="n"/>
      <c r="F151" s="41" t="n"/>
      <c r="G151" s="41" t="n"/>
      <c r="H151" s="41" t="n"/>
      <c r="I151" s="48" t="inlineStr">
        <is>
          <t>17-DEC-25</t>
        </is>
      </c>
      <c r="J151" s="41" t="n"/>
      <c r="K151" s="48" t="inlineStr">
        <is>
          <t>Training C</t>
        </is>
      </c>
      <c r="L151" s="41" t="n"/>
      <c r="M151" s="48" t="inlineStr">
        <is>
          <t xml:space="preserve">CDI </t>
        </is>
      </c>
      <c r="N151" s="41" t="n"/>
      <c r="O151" s="41" t="n"/>
      <c r="Q151">
        <f>LEFT(I151,9)</f>
        <v/>
      </c>
      <c r="R151">
        <f>TRIM(B151)</f>
        <v/>
      </c>
      <c r="S151">
        <f>COUNTIF($X$1:$X$9,R151) &gt; 0</f>
        <v/>
      </c>
      <c r="T151">
        <f>IF(AND(S151=FALSE,LEN(R151)&gt;2),4,IF(S151=TRUE,INDEX($Y$1:$Y$9,MATCH(R151,$X$1:$X$9,0)),""))</f>
        <v/>
      </c>
      <c r="U151">
        <f>IF(R151&lt;&gt;"",IF(Q156="",0,MATCH(TRUE,INDEX(Q156:$Q$1100="",0),0)-1),"")</f>
        <v/>
      </c>
      <c r="V151">
        <f>IF(AND(T151&lt;&gt;"",U151&lt;&gt;""),IF(U151-T151&lt;=0,"Falls Short",U151-T151),"")</f>
        <v/>
      </c>
      <c r="W151">
        <f>IF(AND(R151&lt;&gt;"",V151&lt;&gt;"Falls Short"),20*V151,"")</f>
        <v/>
      </c>
    </row>
    <row r="152" ht="15" customHeight="1" s="21">
      <c r="A152" s="48" t="inlineStr">
        <is>
          <t xml:space="preserve"> </t>
        </is>
      </c>
      <c r="B152" s="41" t="n"/>
      <c r="C152" s="41" t="n"/>
      <c r="D152" s="46" t="n"/>
      <c r="E152" s="41" t="n"/>
      <c r="F152" s="41" t="n"/>
      <c r="G152" s="41" t="n"/>
      <c r="H152" s="41" t="n"/>
      <c r="I152" s="48" t="inlineStr">
        <is>
          <t>18-DEC-25</t>
        </is>
      </c>
      <c r="J152" s="41" t="n"/>
      <c r="K152" s="48" t="inlineStr">
        <is>
          <t>Training C</t>
        </is>
      </c>
      <c r="L152" s="41" t="n"/>
      <c r="M152" s="48" t="inlineStr">
        <is>
          <t xml:space="preserve">CDI </t>
        </is>
      </c>
      <c r="N152" s="41" t="n"/>
      <c r="O152" s="41" t="n"/>
      <c r="Q152">
        <f>LEFT(I152,9)</f>
        <v/>
      </c>
      <c r="R152">
        <f>TRIM(B152)</f>
        <v/>
      </c>
      <c r="S152">
        <f>COUNTIF($X$1:$X$9,R152) &gt; 0</f>
        <v/>
      </c>
      <c r="T152">
        <f>IF(AND(S152=FALSE,LEN(R152)&gt;2),4,IF(S152=TRUE,INDEX($Y$1:$Y$9,MATCH(R152,$X$1:$X$9,0)),""))</f>
        <v/>
      </c>
      <c r="U152">
        <f>IF(R152&lt;&gt;"",IF(Q157="",0,MATCH(TRUE,INDEX(Q157:$Q$1100="",0),0)-1),"")</f>
        <v/>
      </c>
      <c r="V152">
        <f>IF(AND(T152&lt;&gt;"",U152&lt;&gt;""),IF(U152-T152&lt;=0,"Falls Short",U152-T152),"")</f>
        <v/>
      </c>
      <c r="W152">
        <f>IF(AND(R152&lt;&gt;"",V152&lt;&gt;"Falls Short"),20*V152,"")</f>
        <v/>
      </c>
    </row>
    <row r="153" ht="15" customHeight="1" s="21">
      <c r="A153" s="49" t="inlineStr">
        <is>
          <t xml:space="preserve"> </t>
        </is>
      </c>
      <c r="B153" s="41" t="n"/>
      <c r="C153" s="41" t="n"/>
      <c r="D153" s="41" t="n"/>
      <c r="E153" s="41" t="n"/>
      <c r="F153" s="41" t="n"/>
      <c r="G153" s="41" t="n"/>
      <c r="H153" s="41" t="n"/>
      <c r="I153" s="41" t="n"/>
      <c r="J153" s="41" t="n"/>
      <c r="K153" s="41" t="n"/>
      <c r="L153" s="41" t="n"/>
      <c r="M153" s="41" t="n"/>
      <c r="N153" s="41" t="n"/>
      <c r="O153" s="41" t="n"/>
      <c r="Q153">
        <f>LEFT(I153,9)</f>
        <v/>
      </c>
      <c r="R153">
        <f>TRIM(B153)</f>
        <v/>
      </c>
      <c r="S153">
        <f>COUNTIF($X$1:$X$9,R153) &gt; 0</f>
        <v/>
      </c>
      <c r="T153">
        <f>IF(AND(S153=FALSE,LEN(R153)&gt;2),4,IF(S153=TRUE,INDEX($Y$1:$Y$9,MATCH(R153,$X$1:$X$9,0)),""))</f>
        <v/>
      </c>
      <c r="U153">
        <f>IF(R153&lt;&gt;"",IF(Q158="",0,MATCH(TRUE,INDEX(Q158:$Q$1100="",0),0)-1),"")</f>
        <v/>
      </c>
      <c r="V153">
        <f>IF(AND(T153&lt;&gt;"",U153&lt;&gt;""),IF(U153-T153&lt;=0,"Falls Short",U153-T153),"")</f>
        <v/>
      </c>
      <c r="W153">
        <f>IF(AND(R153&lt;&gt;"",V153&lt;&gt;"Falls Short"),20*V153,"")</f>
        <v/>
      </c>
    </row>
    <row r="154" ht="15" customHeight="1" s="21">
      <c r="A154" s="49" t="inlineStr">
        <is>
          <t xml:space="preserve"> </t>
        </is>
      </c>
      <c r="B154" s="41" t="n"/>
      <c r="C154" s="41" t="n"/>
      <c r="D154" s="41" t="n"/>
      <c r="E154" s="41" t="n"/>
      <c r="F154" s="41" t="n"/>
      <c r="G154" s="41" t="n"/>
      <c r="H154" s="41" t="n"/>
      <c r="I154" s="41" t="n"/>
      <c r="J154" s="41" t="n"/>
      <c r="K154" s="41" t="n"/>
      <c r="L154" s="41" t="n"/>
      <c r="M154" s="41" t="n"/>
      <c r="N154" s="41" t="n"/>
      <c r="O154" s="41" t="n"/>
      <c r="Q154">
        <f>LEFT(I154,9)</f>
        <v/>
      </c>
      <c r="R154">
        <f>TRIM(B154)</f>
        <v/>
      </c>
      <c r="S154">
        <f>COUNTIF($X$1:$X$9,R154) &gt; 0</f>
        <v/>
      </c>
      <c r="T154">
        <f>IF(AND(S154=FALSE,LEN(R154)&gt;2),4,IF(S154=TRUE,INDEX($Y$1:$Y$9,MATCH(R154,$X$1:$X$9,0)),""))</f>
        <v/>
      </c>
      <c r="U154">
        <f>IF(R154&lt;&gt;"",IF(Q159="",0,MATCH(TRUE,INDEX(Q159:$Q$1100="",0),0)-1),"")</f>
        <v/>
      </c>
      <c r="V154">
        <f>IF(AND(T154&lt;&gt;"",U154&lt;&gt;""),IF(U154-T154&lt;=0,"Falls Short",U154-T154),"")</f>
        <v/>
      </c>
      <c r="W154">
        <f>IF(AND(R154&lt;&gt;"",V154&lt;&gt;"Falls Short"),20*V154,"")</f>
        <v/>
      </c>
    </row>
    <row r="155" ht="15" customHeight="1" s="21">
      <c r="A155" s="43" t="inlineStr">
        <is>
          <t xml:space="preserve"> </t>
        </is>
      </c>
      <c r="B155" s="41" t="n"/>
      <c r="C155" s="41" t="n"/>
      <c r="D155" s="41" t="n"/>
      <c r="E155" s="41" t="n"/>
      <c r="F155" s="41" t="n"/>
      <c r="G155" s="41" t="n"/>
      <c r="H155" s="41" t="n"/>
      <c r="I155" s="41" t="n"/>
      <c r="J155" s="41" t="n"/>
      <c r="K155" s="41" t="n"/>
      <c r="L155" s="41" t="n"/>
      <c r="M155" s="41" t="n"/>
      <c r="N155" s="41" t="n"/>
      <c r="O155" s="41" t="n"/>
      <c r="Q155">
        <f>LEFT(I155,9)</f>
        <v/>
      </c>
      <c r="R155">
        <f>TRIM(B155)</f>
        <v/>
      </c>
      <c r="S155">
        <f>COUNTIF($X$1:$X$9,R155) &gt; 0</f>
        <v/>
      </c>
      <c r="T155">
        <f>IF(AND(S155=FALSE,LEN(R155)&gt;2),4,IF(S155=TRUE,INDEX($Y$1:$Y$9,MATCH(R155,$X$1:$X$9,0)),""))</f>
        <v/>
      </c>
      <c r="U155">
        <f>IF(R155&lt;&gt;"",IF(Q160="",0,MATCH(TRUE,INDEX(Q160:$Q$1100="",0),0)-1),"")</f>
        <v/>
      </c>
      <c r="V155">
        <f>IF(AND(T155&lt;&gt;"",U155&lt;&gt;""),IF(U155-T155&lt;=0,"Falls Short",U155-T155),"")</f>
        <v/>
      </c>
      <c r="W155">
        <f>IF(AND(R155&lt;&gt;"",V155&lt;&gt;"Falls Short"),20*V155,"")</f>
        <v/>
      </c>
    </row>
    <row r="156" ht="15" customHeight="1" s="21">
      <c r="A156" s="44" t="n"/>
      <c r="B156" s="44" t="n"/>
      <c r="C156" s="44" t="n"/>
      <c r="D156" s="41" t="n"/>
      <c r="E156" s="41" t="n"/>
      <c r="F156" s="41" t="n"/>
      <c r="G156" s="44" t="n"/>
      <c r="H156" s="45" t="inlineStr">
        <is>
          <t>Month</t>
        </is>
      </c>
      <c r="I156" s="41" t="n"/>
      <c r="J156" s="45" t="inlineStr">
        <is>
          <t>Days</t>
        </is>
      </c>
      <c r="K156" s="41" t="n"/>
      <c r="L156" s="41" t="n"/>
      <c r="M156" s="45" t="inlineStr">
        <is>
          <t>Total</t>
        </is>
      </c>
      <c r="N156" s="41" t="n"/>
      <c r="O156" s="41" t="n"/>
      <c r="Q156">
        <f>LEFT(I156,9)</f>
        <v/>
      </c>
      <c r="R156">
        <f>TRIM(B156)</f>
        <v/>
      </c>
      <c r="S156">
        <f>COUNTIF($X$1:$X$9,R156) &gt; 0</f>
        <v/>
      </c>
      <c r="T156">
        <f>IF(AND(S156=FALSE,LEN(R156)&gt;2),4,IF(S156=TRUE,INDEX($Y$1:$Y$9,MATCH(R156,$X$1:$X$9,0)),""))</f>
        <v/>
      </c>
      <c r="U156">
        <f>IF(R156&lt;&gt;"",IF(Q161="",0,MATCH(TRUE,INDEX(Q161:$Q$1100="",0),0)-1),"")</f>
        <v/>
      </c>
      <c r="V156">
        <f>IF(AND(T156&lt;&gt;"",U156&lt;&gt;""),IF(U156-T156&lt;=0,"Falls Short",U156-T156),"")</f>
        <v/>
      </c>
      <c r="W156">
        <f>IF(AND(R156&lt;&gt;"",V156&lt;&gt;"Falls Short"),20*V156,"")</f>
        <v/>
      </c>
    </row>
    <row r="157" ht="15" customHeight="1" s="21">
      <c r="A157" s="46" t="inlineStr">
        <is>
          <t>Job Role X</t>
        </is>
      </c>
      <c r="B157" s="42" t="inlineStr">
        <is>
          <t>AUY</t>
        </is>
      </c>
      <c r="C157" s="42" t="inlineStr">
        <is>
          <t xml:space="preserve">   CANCER PHI</t>
        </is>
      </c>
      <c r="D157" s="41" t="n"/>
      <c r="E157" s="41" t="n"/>
      <c r="F157" s="41" t="n"/>
      <c r="G157" s="42" t="inlineStr">
        <is>
          <t xml:space="preserve">10050        </t>
        </is>
      </c>
      <c r="H157" s="47" t="n"/>
      <c r="I157" s="41" t="n"/>
      <c r="J157" s="47" t="n"/>
      <c r="K157" s="41" t="n"/>
      <c r="L157" s="41" t="n"/>
      <c r="M157" s="47" t="n"/>
      <c r="N157" s="41" t="n"/>
      <c r="O157" s="41" t="n"/>
      <c r="Q157">
        <f>LEFT(I157,9)</f>
        <v/>
      </c>
      <c r="R157">
        <f>TRIM(B157)</f>
        <v/>
      </c>
      <c r="S157">
        <f>COUNTIF($X$1:$X$9,R157) &gt; 0</f>
        <v/>
      </c>
      <c r="T157">
        <f>IF(AND(S157=FALSE,LEN(R157)&gt;2),4,IF(S157=TRUE,INDEX($Y$1:$Y$9,MATCH(R157,$X$1:$X$9,0)),""))</f>
        <v/>
      </c>
      <c r="U157">
        <f>IF(R157&lt;&gt;"",IF(Q162="",0,MATCH(TRUE,INDEX(Q162:$Q$1100="",0),0)-1),"")</f>
        <v/>
      </c>
      <c r="V157">
        <f>IF(AND(T157&lt;&gt;"",U157&lt;&gt;""),IF(U157-T157&lt;=0,"Falls Short",U157-T157),"")</f>
        <v/>
      </c>
      <c r="W157">
        <f>IF(AND(R157&lt;&gt;"",V157&lt;&gt;"Falls Short"),20*V157,"")</f>
        <v/>
      </c>
    </row>
    <row r="158" ht="15" customHeight="1" s="21">
      <c r="A158" s="42" t="n"/>
      <c r="B158" s="46" t="n"/>
      <c r="C158" s="46" t="n"/>
      <c r="D158" s="41" t="n"/>
      <c r="E158" s="41" t="n"/>
      <c r="F158" s="41" t="n"/>
      <c r="G158" s="46" t="n"/>
      <c r="H158" s="46" t="n"/>
      <c r="I158" s="41" t="n"/>
      <c r="J158" s="46" t="n"/>
      <c r="K158" s="41" t="n"/>
      <c r="L158" s="41" t="n"/>
      <c r="M158" s="48" t="inlineStr">
        <is>
          <t>3</t>
        </is>
      </c>
      <c r="N158" s="41" t="n"/>
      <c r="O158" s="41" t="n"/>
      <c r="Q158">
        <f>LEFT(I158,9)</f>
        <v/>
      </c>
      <c r="R158">
        <f>TRIM(B158)</f>
        <v/>
      </c>
      <c r="S158">
        <f>COUNTIF($X$1:$X$9,R158) &gt; 0</f>
        <v/>
      </c>
      <c r="T158">
        <f>IF(AND(S158=FALSE,LEN(R158)&gt;2),4,IF(S158=TRUE,INDEX($Y$1:$Y$9,MATCH(R158,$X$1:$X$9,0)),""))</f>
        <v/>
      </c>
      <c r="U158">
        <f>IF(R158&lt;&gt;"",IF(Q163="",0,MATCH(TRUE,INDEX(Q163:$Q$1100="",0),0)-1),"")</f>
        <v/>
      </c>
      <c r="V158">
        <f>IF(AND(T158&lt;&gt;"",U158&lt;&gt;""),IF(U158-T158&lt;=0,"Falls Short",U158-T158),"")</f>
        <v/>
      </c>
      <c r="W158">
        <f>IF(AND(R158&lt;&gt;"",V158&lt;&gt;"Falls Short"),20*V158,"")</f>
        <v/>
      </c>
    </row>
    <row r="159" ht="15" customHeight="1" s="21">
      <c r="A159" s="43" t="inlineStr">
        <is>
          <t xml:space="preserve"> </t>
        </is>
      </c>
      <c r="B159" s="41" t="n"/>
      <c r="C159" s="41" t="n"/>
      <c r="D159" s="41" t="n"/>
      <c r="E159" s="41" t="n"/>
      <c r="F159" s="41" t="n"/>
      <c r="G159" s="41" t="n"/>
      <c r="H159" s="41" t="n"/>
      <c r="I159" s="41" t="n"/>
      <c r="J159" s="41" t="n"/>
      <c r="K159" s="41" t="n"/>
      <c r="L159" s="41" t="n"/>
      <c r="M159" s="41" t="n"/>
      <c r="N159" s="41" t="n"/>
      <c r="O159" s="41" t="n"/>
      <c r="Q159">
        <f>LEFT(I159,9)</f>
        <v/>
      </c>
      <c r="R159">
        <f>TRIM(B159)</f>
        <v/>
      </c>
      <c r="S159">
        <f>COUNTIF($X$1:$X$9,R159) &gt; 0</f>
        <v/>
      </c>
      <c r="T159">
        <f>IF(AND(S159=FALSE,LEN(R159)&gt;2),4,IF(S159=TRUE,INDEX($Y$1:$Y$9,MATCH(R159,$X$1:$X$9,0)),""))</f>
        <v/>
      </c>
      <c r="U159">
        <f>IF(R159&lt;&gt;"",IF(Q164="",0,MATCH(TRUE,INDEX(Q164:$Q$1100="",0),0)-1),"")</f>
        <v/>
      </c>
      <c r="V159">
        <f>IF(AND(T159&lt;&gt;"",U159&lt;&gt;""),IF(U159-T159&lt;=0,"Falls Short",U159-T159),"")</f>
        <v/>
      </c>
      <c r="W159">
        <f>IF(AND(R159&lt;&gt;"",V159&lt;&gt;"Falls Short"),20*V159,"")</f>
        <v/>
      </c>
    </row>
    <row r="160" ht="21.8" customHeight="1" s="21">
      <c r="A160" s="46" t="n"/>
      <c r="B160" s="41" t="n"/>
      <c r="C160" s="41" t="n"/>
      <c r="D160" s="41" t="n"/>
      <c r="E160" s="46" t="n"/>
      <c r="F160" s="41" t="n"/>
      <c r="G160" s="41" t="n"/>
      <c r="H160" s="48" t="inlineStr">
        <is>
          <t>12 / 2025</t>
        </is>
      </c>
      <c r="I160" s="41" t="n"/>
      <c r="J160" s="48" t="inlineStr">
        <is>
          <t>3</t>
        </is>
      </c>
      <c r="K160" s="46" t="n"/>
      <c r="L160" s="41" t="n"/>
      <c r="M160" s="41" t="n"/>
      <c r="N160" s="41" t="n"/>
      <c r="O160" s="41" t="n"/>
      <c r="Q160">
        <f>LEFT(I160,9)</f>
        <v/>
      </c>
      <c r="R160">
        <f>TRIM(B160)</f>
        <v/>
      </c>
      <c r="S160">
        <f>COUNTIF($X$1:$X$9,R160) &gt; 0</f>
        <v/>
      </c>
      <c r="T160">
        <f>IF(AND(S160=FALSE,LEN(R160)&gt;2),4,IF(S160=TRUE,INDEX($Y$1:$Y$9,MATCH(R160,$X$1:$X$9,0)),""))</f>
        <v/>
      </c>
      <c r="U160">
        <f>IF(R160&lt;&gt;"",IF(Q165="",0,MATCH(TRUE,INDEX(Q165:$Q$1100="",0),0)-1),"")</f>
        <v/>
      </c>
      <c r="V160">
        <f>IF(AND(T160&lt;&gt;"",U160&lt;&gt;""),IF(U160-T160&lt;=0,"Falls Short",U160-T160),"")</f>
        <v/>
      </c>
      <c r="W160">
        <f>IF(AND(R160&lt;&gt;"",V160&lt;&gt;"Falls Short"),20*V160,"")</f>
        <v/>
      </c>
    </row>
    <row r="161" ht="15" customHeight="1" s="21">
      <c r="A161" s="43" t="inlineStr">
        <is>
          <t xml:space="preserve"> </t>
        </is>
      </c>
      <c r="B161" s="41" t="n"/>
      <c r="C161" s="41" t="n"/>
      <c r="D161" s="41" t="n"/>
      <c r="E161" s="41" t="n"/>
      <c r="F161" s="41" t="n"/>
      <c r="G161" s="41" t="n"/>
      <c r="H161" s="41" t="n"/>
      <c r="I161" s="41" t="n"/>
      <c r="J161" s="41" t="n"/>
      <c r="K161" s="41" t="n"/>
      <c r="L161" s="41" t="n"/>
      <c r="M161" s="41" t="n"/>
      <c r="N161" s="41" t="n"/>
      <c r="O161" s="41" t="n"/>
      <c r="Q161">
        <f>LEFT(I161,9)</f>
        <v/>
      </c>
      <c r="R161">
        <f>TRIM(B161)</f>
        <v/>
      </c>
      <c r="S161">
        <f>COUNTIF($X$1:$X$9,R161) &gt; 0</f>
        <v/>
      </c>
      <c r="T161">
        <f>IF(AND(S161=FALSE,LEN(R161)&gt;2),4,IF(S161=TRUE,INDEX($Y$1:$Y$9,MATCH(R161,$X$1:$X$9,0)),""))</f>
        <v/>
      </c>
      <c r="U161">
        <f>IF(R161&lt;&gt;"",IF(Q166="",0,MATCH(TRUE,INDEX(Q166:$Q$1100="",0),0)-1),"")</f>
        <v/>
      </c>
      <c r="V161">
        <f>IF(AND(T161&lt;&gt;"",U161&lt;&gt;""),IF(U161-T161&lt;=0,"Falls Short",U161-T161),"")</f>
        <v/>
      </c>
      <c r="W161">
        <f>IF(AND(R161&lt;&gt;"",V161&lt;&gt;"Falls Short"),20*V161,"")</f>
        <v/>
      </c>
    </row>
    <row r="162" ht="15" customHeight="1" s="21">
      <c r="A162" s="48" t="inlineStr">
        <is>
          <t xml:space="preserve"> </t>
        </is>
      </c>
      <c r="B162" s="41" t="n"/>
      <c r="C162" s="41" t="n"/>
      <c r="D162" s="46" t="n"/>
      <c r="E162" s="41" t="n"/>
      <c r="F162" s="41" t="n"/>
      <c r="G162" s="41" t="n"/>
      <c r="H162" s="41" t="n"/>
      <c r="I162" s="48" t="inlineStr">
        <is>
          <t>02-DEC-25</t>
        </is>
      </c>
      <c r="J162" s="41" t="n"/>
      <c r="K162" s="48" t="inlineStr">
        <is>
          <t>Training E</t>
        </is>
      </c>
      <c r="L162" s="41" t="n"/>
      <c r="M162" s="48" t="inlineStr">
        <is>
          <t xml:space="preserve">CDI </t>
        </is>
      </c>
      <c r="N162" s="41" t="n"/>
      <c r="O162" s="41" t="n"/>
      <c r="Q162">
        <f>LEFT(I162,9)</f>
        <v/>
      </c>
      <c r="R162">
        <f>TRIM(B162)</f>
        <v/>
      </c>
      <c r="S162">
        <f>COUNTIF($X$1:$X$9,R162) &gt; 0</f>
        <v/>
      </c>
      <c r="T162">
        <f>IF(AND(S162=FALSE,LEN(R162)&gt;2),4,IF(S162=TRUE,INDEX($Y$1:$Y$9,MATCH(R162,$X$1:$X$9,0)),""))</f>
        <v/>
      </c>
      <c r="U162">
        <f>IF(R162&lt;&gt;"",IF(Q167="",0,MATCH(TRUE,INDEX(Q167:$Q$1100="",0),0)-1),"")</f>
        <v/>
      </c>
      <c r="V162">
        <f>IF(AND(T162&lt;&gt;"",U162&lt;&gt;""),IF(U162-T162&lt;=0,"Falls Short",U162-T162),"")</f>
        <v/>
      </c>
      <c r="W162">
        <f>IF(AND(R162&lt;&gt;"",V162&lt;&gt;"Falls Short"),20*V162,"")</f>
        <v/>
      </c>
    </row>
    <row r="163" ht="15" customHeight="1" s="21">
      <c r="A163" s="48" t="inlineStr">
        <is>
          <t xml:space="preserve"> </t>
        </is>
      </c>
      <c r="B163" s="41" t="n"/>
      <c r="C163" s="41" t="n"/>
      <c r="D163" s="46" t="n"/>
      <c r="E163" s="41" t="n"/>
      <c r="F163" s="41" t="n"/>
      <c r="G163" s="41" t="n"/>
      <c r="H163" s="41" t="n"/>
      <c r="I163" s="48" t="inlineStr">
        <is>
          <t>07-DEC-25</t>
        </is>
      </c>
      <c r="J163" s="41" t="n"/>
      <c r="K163" s="48" t="inlineStr">
        <is>
          <t>Training D</t>
        </is>
      </c>
      <c r="L163" s="41" t="n"/>
      <c r="M163" s="48" t="inlineStr">
        <is>
          <t xml:space="preserve">CDI </t>
        </is>
      </c>
      <c r="N163" s="41" t="n"/>
      <c r="O163" s="41" t="n"/>
      <c r="Q163">
        <f>LEFT(I163,9)</f>
        <v/>
      </c>
      <c r="R163">
        <f>TRIM(B163)</f>
        <v/>
      </c>
      <c r="S163">
        <f>COUNTIF($X$1:$X$9,R163) &gt; 0</f>
        <v/>
      </c>
      <c r="T163">
        <f>IF(AND(S163=FALSE,LEN(R163)&gt;2),4,IF(S163=TRUE,INDEX($Y$1:$Y$9,MATCH(R163,$X$1:$X$9,0)),""))</f>
        <v/>
      </c>
      <c r="U163">
        <f>IF(R163&lt;&gt;"",IF(Q168="",0,MATCH(TRUE,INDEX(Q168:$Q$1100="",0),0)-1),"")</f>
        <v/>
      </c>
      <c r="V163">
        <f>IF(AND(T163&lt;&gt;"",U163&lt;&gt;""),IF(U163-T163&lt;=0,"Falls Short",U163-T163),"")</f>
        <v/>
      </c>
      <c r="W163">
        <f>IF(AND(R163&lt;&gt;"",V163&lt;&gt;"Falls Short"),20*V163,"")</f>
        <v/>
      </c>
    </row>
    <row r="164" ht="15" customHeight="1" s="21">
      <c r="A164" s="48" t="inlineStr">
        <is>
          <t xml:space="preserve"> </t>
        </is>
      </c>
      <c r="B164" s="41" t="n"/>
      <c r="C164" s="41" t="n"/>
      <c r="D164" s="46" t="n"/>
      <c r="E164" s="41" t="n"/>
      <c r="F164" s="41" t="n"/>
      <c r="G164" s="41" t="n"/>
      <c r="H164" s="41" t="n"/>
      <c r="I164" s="48" t="inlineStr">
        <is>
          <t>08-DEC-25</t>
        </is>
      </c>
      <c r="J164" s="41" t="n"/>
      <c r="K164" s="48" t="inlineStr">
        <is>
          <t>Training D</t>
        </is>
      </c>
      <c r="L164" s="41" t="n"/>
      <c r="M164" s="48" t="inlineStr">
        <is>
          <t xml:space="preserve">CDI </t>
        </is>
      </c>
      <c r="N164" s="41" t="n"/>
      <c r="O164" s="41" t="n"/>
      <c r="Q164">
        <f>LEFT(I164,9)</f>
        <v/>
      </c>
      <c r="R164">
        <f>TRIM(B164)</f>
        <v/>
      </c>
      <c r="S164">
        <f>COUNTIF($X$1:$X$9,R164) &gt; 0</f>
        <v/>
      </c>
      <c r="T164">
        <f>IF(AND(S164=FALSE,LEN(R164)&gt;2),4,IF(S164=TRUE,INDEX($Y$1:$Y$9,MATCH(R164,$X$1:$X$9,0)),""))</f>
        <v/>
      </c>
      <c r="U164">
        <f>IF(R164&lt;&gt;"",IF(Q169="",0,MATCH(TRUE,INDEX(Q169:$Q$1100="",0),0)-1),"")</f>
        <v/>
      </c>
      <c r="V164">
        <f>IF(AND(T164&lt;&gt;"",U164&lt;&gt;""),IF(U164-T164&lt;=0,"Falls Short",U164-T164),"")</f>
        <v/>
      </c>
      <c r="W164">
        <f>IF(AND(R164&lt;&gt;"",V164&lt;&gt;"Falls Short"),20*V164,"")</f>
        <v/>
      </c>
    </row>
    <row r="165" ht="15" customHeight="1" s="21">
      <c r="A165" s="49" t="inlineStr">
        <is>
          <t xml:space="preserve"> </t>
        </is>
      </c>
      <c r="B165" s="41" t="n"/>
      <c r="C165" s="41" t="n"/>
      <c r="D165" s="41" t="n"/>
      <c r="E165" s="41" t="n"/>
      <c r="F165" s="41" t="n"/>
      <c r="G165" s="41" t="n"/>
      <c r="H165" s="41" t="n"/>
      <c r="I165" s="41" t="n"/>
      <c r="J165" s="41" t="n"/>
      <c r="K165" s="41" t="n"/>
      <c r="L165" s="41" t="n"/>
      <c r="M165" s="41" t="n"/>
      <c r="N165" s="41" t="n"/>
      <c r="O165" s="41" t="n"/>
      <c r="Q165">
        <f>LEFT(I165,9)</f>
        <v/>
      </c>
      <c r="R165">
        <f>TRIM(B165)</f>
        <v/>
      </c>
      <c r="S165">
        <f>COUNTIF($X$1:$X$9,R165) &gt; 0</f>
        <v/>
      </c>
      <c r="T165">
        <f>IF(AND(S165=FALSE,LEN(R165)&gt;2),4,IF(S165=TRUE,INDEX($Y$1:$Y$9,MATCH(R165,$X$1:$X$9,0)),""))</f>
        <v/>
      </c>
      <c r="U165">
        <f>IF(R165&lt;&gt;"",IF(Q170="",0,MATCH(TRUE,INDEX(Q170:$Q$1100="",0),0)-1),"")</f>
        <v/>
      </c>
      <c r="V165">
        <f>IF(AND(T165&lt;&gt;"",U165&lt;&gt;""),IF(U165-T165&lt;=0,"Falls Short",U165-T165),"")</f>
        <v/>
      </c>
      <c r="W165">
        <f>IF(AND(R165&lt;&gt;"",V165&lt;&gt;"Falls Short"),20*V165,"")</f>
        <v/>
      </c>
    </row>
    <row r="166" ht="15" customHeight="1" s="21">
      <c r="A166" s="49" t="inlineStr">
        <is>
          <t xml:space="preserve"> </t>
        </is>
      </c>
      <c r="B166" s="41" t="n"/>
      <c r="C166" s="41" t="n"/>
      <c r="D166" s="41" t="n"/>
      <c r="E166" s="41" t="n"/>
      <c r="F166" s="41" t="n"/>
      <c r="G166" s="41" t="n"/>
      <c r="H166" s="41" t="n"/>
      <c r="I166" s="41" t="n"/>
      <c r="J166" s="41" t="n"/>
      <c r="K166" s="41" t="n"/>
      <c r="L166" s="41" t="n"/>
      <c r="M166" s="41" t="n"/>
      <c r="N166" s="41" t="n"/>
      <c r="O166" s="41" t="n"/>
      <c r="Q166">
        <f>LEFT(I166,9)</f>
        <v/>
      </c>
      <c r="R166">
        <f>TRIM(B166)</f>
        <v/>
      </c>
      <c r="S166">
        <f>COUNTIF($X$1:$X$9,R166) &gt; 0</f>
        <v/>
      </c>
      <c r="T166">
        <f>IF(AND(S166=FALSE,LEN(R166)&gt;2),4,IF(S166=TRUE,INDEX($Y$1:$Y$9,MATCH(R166,$X$1:$X$9,0)),""))</f>
        <v/>
      </c>
      <c r="U166">
        <f>IF(R166&lt;&gt;"",IF(Q171="",0,MATCH(TRUE,INDEX(Q171:$Q$1100="",0),0)-1),"")</f>
        <v/>
      </c>
      <c r="V166">
        <f>IF(AND(T166&lt;&gt;"",U166&lt;&gt;""),IF(U166-T166&lt;=0,"Falls Short",U166-T166),"")</f>
        <v/>
      </c>
      <c r="W166">
        <f>IF(AND(R166&lt;&gt;"",V166&lt;&gt;"Falls Short"),20*V166,"")</f>
        <v/>
      </c>
    </row>
    <row r="167" ht="15" customHeight="1" s="21">
      <c r="A167" s="43" t="inlineStr">
        <is>
          <t xml:space="preserve"> </t>
        </is>
      </c>
      <c r="B167" s="41" t="n"/>
      <c r="C167" s="41" t="n"/>
      <c r="D167" s="41" t="n"/>
      <c r="E167" s="41" t="n"/>
      <c r="F167" s="41" t="n"/>
      <c r="G167" s="41" t="n"/>
      <c r="H167" s="41" t="n"/>
      <c r="I167" s="41" t="n"/>
      <c r="J167" s="41" t="n"/>
      <c r="K167" s="41" t="n"/>
      <c r="L167" s="41" t="n"/>
      <c r="M167" s="41" t="n"/>
      <c r="N167" s="41" t="n"/>
      <c r="O167" s="41" t="n"/>
      <c r="Q167">
        <f>LEFT(I167,9)</f>
        <v/>
      </c>
      <c r="R167">
        <f>TRIM(B167)</f>
        <v/>
      </c>
      <c r="S167">
        <f>COUNTIF($X$1:$X$9,R167) &gt; 0</f>
        <v/>
      </c>
      <c r="T167">
        <f>IF(AND(S167=FALSE,LEN(R167)&gt;2),4,IF(S167=TRUE,INDEX($Y$1:$Y$9,MATCH(R167,$X$1:$X$9,0)),""))</f>
        <v/>
      </c>
      <c r="U167">
        <f>IF(R167&lt;&gt;"",IF(Q172="",0,MATCH(TRUE,INDEX(Q172:$Q$1100="",0),0)-1),"")</f>
        <v/>
      </c>
      <c r="V167">
        <f>IF(AND(T167&lt;&gt;"",U167&lt;&gt;""),IF(U167-T167&lt;=0,"Falls Short",U167-T167),"")</f>
        <v/>
      </c>
      <c r="W167">
        <f>IF(AND(R167&lt;&gt;"",V167&lt;&gt;"Falls Short"),20*V167,"")</f>
        <v/>
      </c>
    </row>
    <row r="168" ht="15" customHeight="1" s="21">
      <c r="A168" s="44" t="n"/>
      <c r="B168" s="44" t="n"/>
      <c r="C168" s="44" t="n"/>
      <c r="D168" s="41" t="n"/>
      <c r="E168" s="41" t="n"/>
      <c r="F168" s="41" t="n"/>
      <c r="G168" s="44" t="n"/>
      <c r="H168" s="45" t="inlineStr">
        <is>
          <t>Month</t>
        </is>
      </c>
      <c r="I168" s="41" t="n"/>
      <c r="J168" s="45" t="inlineStr">
        <is>
          <t>Days</t>
        </is>
      </c>
      <c r="K168" s="41" t="n"/>
      <c r="L168" s="41" t="n"/>
      <c r="M168" s="45" t="inlineStr">
        <is>
          <t>Total</t>
        </is>
      </c>
      <c r="N168" s="41" t="n"/>
      <c r="O168" s="41" t="n"/>
      <c r="Q168">
        <f>LEFT(I168,9)</f>
        <v/>
      </c>
      <c r="R168">
        <f>TRIM(B168)</f>
        <v/>
      </c>
      <c r="S168">
        <f>COUNTIF($X$1:$X$9,R168) &gt; 0</f>
        <v/>
      </c>
      <c r="T168">
        <f>IF(AND(S168=FALSE,LEN(R168)&gt;2),4,IF(S168=TRUE,INDEX($Y$1:$Y$9,MATCH(R168,$X$1:$X$9,0)),""))</f>
        <v/>
      </c>
      <c r="U168">
        <f>IF(R168&lt;&gt;"",IF(Q173="",0,MATCH(TRUE,INDEX(Q173:$Q$1100="",0),0)-1),"")</f>
        <v/>
      </c>
      <c r="V168">
        <f>IF(AND(T168&lt;&gt;"",U168&lt;&gt;""),IF(U168-T168&lt;=0,"Falls Short",U168-T168),"")</f>
        <v/>
      </c>
      <c r="W168">
        <f>IF(AND(R168&lt;&gt;"",V168&lt;&gt;"Falls Short"),20*V168,"")</f>
        <v/>
      </c>
    </row>
    <row r="169" ht="15" customHeight="1" s="21">
      <c r="A169" s="46" t="inlineStr">
        <is>
          <t>Job Role X</t>
        </is>
      </c>
      <c r="B169" s="42" t="inlineStr">
        <is>
          <t>AVZ</t>
        </is>
      </c>
      <c r="C169" s="42" t="inlineStr">
        <is>
          <t xml:space="preserve">   CRATER CHI</t>
        </is>
      </c>
      <c r="D169" s="41" t="n"/>
      <c r="E169" s="41" t="n"/>
      <c r="F169" s="41" t="n"/>
      <c r="G169" s="42" t="inlineStr">
        <is>
          <t xml:space="preserve">10054        </t>
        </is>
      </c>
      <c r="H169" s="47" t="n"/>
      <c r="I169" s="41" t="n"/>
      <c r="J169" s="47" t="n"/>
      <c r="K169" s="41" t="n"/>
      <c r="L169" s="41" t="n"/>
      <c r="M169" s="47" t="n"/>
      <c r="N169" s="41" t="n"/>
      <c r="O169" s="41" t="n"/>
      <c r="Q169">
        <f>LEFT(I169,9)</f>
        <v/>
      </c>
      <c r="R169">
        <f>TRIM(B169)</f>
        <v/>
      </c>
      <c r="S169">
        <f>COUNTIF($X$1:$X$9,R169) &gt; 0</f>
        <v/>
      </c>
      <c r="T169">
        <f>IF(AND(S169=FALSE,LEN(R169)&gt;2),4,IF(S169=TRUE,INDEX($Y$1:$Y$9,MATCH(R169,$X$1:$X$9,0)),""))</f>
        <v/>
      </c>
      <c r="U169">
        <f>IF(R169&lt;&gt;"",IF(Q174="",0,MATCH(TRUE,INDEX(Q174:$Q$1100="",0),0)-1),"")</f>
        <v/>
      </c>
      <c r="V169">
        <f>IF(AND(T169&lt;&gt;"",U169&lt;&gt;""),IF(U169-T169&lt;=0,"Falls Short",U169-T169),"")</f>
        <v/>
      </c>
      <c r="W169">
        <f>IF(AND(R169&lt;&gt;"",V169&lt;&gt;"Falls Short"),20*V169,"")</f>
        <v/>
      </c>
    </row>
    <row r="170" ht="15" customHeight="1" s="21">
      <c r="A170" s="42" t="n"/>
      <c r="B170" s="46" t="n"/>
      <c r="C170" s="46" t="n"/>
      <c r="D170" s="41" t="n"/>
      <c r="E170" s="41" t="n"/>
      <c r="F170" s="41" t="n"/>
      <c r="G170" s="46" t="n"/>
      <c r="H170" s="46" t="n"/>
      <c r="I170" s="41" t="n"/>
      <c r="J170" s="46" t="n"/>
      <c r="K170" s="41" t="n"/>
      <c r="L170" s="41" t="n"/>
      <c r="M170" s="48" t="inlineStr">
        <is>
          <t>2</t>
        </is>
      </c>
      <c r="N170" s="41" t="n"/>
      <c r="O170" s="41" t="n"/>
      <c r="Q170">
        <f>LEFT(I170,9)</f>
        <v/>
      </c>
      <c r="R170">
        <f>TRIM(B170)</f>
        <v/>
      </c>
      <c r="S170">
        <f>COUNTIF($X$1:$X$9,R170) &gt; 0</f>
        <v/>
      </c>
      <c r="T170">
        <f>IF(AND(S170=FALSE,LEN(R170)&gt;2),4,IF(S170=TRUE,INDEX($Y$1:$Y$9,MATCH(R170,$X$1:$X$9,0)),""))</f>
        <v/>
      </c>
      <c r="U170">
        <f>IF(R170&lt;&gt;"",IF(Q175="",0,MATCH(TRUE,INDEX(Q175:$Q$1100="",0),0)-1),"")</f>
        <v/>
      </c>
      <c r="V170">
        <f>IF(AND(T170&lt;&gt;"",U170&lt;&gt;""),IF(U170-T170&lt;=0,"Falls Short",U170-T170),"")</f>
        <v/>
      </c>
      <c r="W170">
        <f>IF(AND(R170&lt;&gt;"",V170&lt;&gt;"Falls Short"),20*V170,"")</f>
        <v/>
      </c>
    </row>
    <row r="171" ht="21.8" customHeight="1" s="21">
      <c r="A171" s="43" t="inlineStr">
        <is>
          <t xml:space="preserve"> </t>
        </is>
      </c>
      <c r="B171" s="41" t="n"/>
      <c r="C171" s="41" t="n"/>
      <c r="D171" s="41" t="n"/>
      <c r="E171" s="41" t="n"/>
      <c r="F171" s="41" t="n"/>
      <c r="G171" s="41" t="n"/>
      <c r="H171" s="41" t="n"/>
      <c r="I171" s="41" t="n"/>
      <c r="J171" s="41" t="n"/>
      <c r="K171" s="41" t="n"/>
      <c r="L171" s="41" t="n"/>
      <c r="M171" s="41" t="n"/>
      <c r="N171" s="41" t="n"/>
      <c r="O171" s="41" t="n"/>
      <c r="Q171">
        <f>LEFT(I171,9)</f>
        <v/>
      </c>
      <c r="R171">
        <f>TRIM(B171)</f>
        <v/>
      </c>
      <c r="S171">
        <f>COUNTIF($X$1:$X$9,R171) &gt; 0</f>
        <v/>
      </c>
      <c r="T171">
        <f>IF(AND(S171=FALSE,LEN(R171)&gt;2),4,IF(S171=TRUE,INDEX($Y$1:$Y$9,MATCH(R171,$X$1:$X$9,0)),""))</f>
        <v/>
      </c>
      <c r="U171">
        <f>IF(R171&lt;&gt;"",IF(Q176="",0,MATCH(TRUE,INDEX(Q176:$Q$1100="",0),0)-1),"")</f>
        <v/>
      </c>
      <c r="V171">
        <f>IF(AND(T171&lt;&gt;"",U171&lt;&gt;""),IF(U171-T171&lt;=0,"Falls Short",U171-T171),"")</f>
        <v/>
      </c>
      <c r="W171">
        <f>IF(AND(R171&lt;&gt;"",V171&lt;&gt;"Falls Short"),20*V171,"")</f>
        <v/>
      </c>
    </row>
    <row r="172" ht="15" customHeight="1" s="21">
      <c r="A172" s="46" t="n"/>
      <c r="B172" s="41" t="n"/>
      <c r="C172" s="41" t="n"/>
      <c r="D172" s="41" t="n"/>
      <c r="E172" s="46" t="n"/>
      <c r="F172" s="41" t="n"/>
      <c r="G172" s="41" t="n"/>
      <c r="H172" s="48" t="inlineStr">
        <is>
          <t>12 / 2025</t>
        </is>
      </c>
      <c r="I172" s="41" t="n"/>
      <c r="J172" s="48" t="inlineStr">
        <is>
          <t>2</t>
        </is>
      </c>
      <c r="K172" s="46" t="n"/>
      <c r="L172" s="41" t="n"/>
      <c r="M172" s="41" t="n"/>
      <c r="N172" s="41" t="n"/>
      <c r="O172" s="41" t="n"/>
      <c r="Q172">
        <f>LEFT(I172,9)</f>
        <v/>
      </c>
      <c r="R172">
        <f>TRIM(B172)</f>
        <v/>
      </c>
      <c r="S172">
        <f>COUNTIF($X$1:$X$9,R172) &gt; 0</f>
        <v/>
      </c>
      <c r="T172">
        <f>IF(AND(S172=FALSE,LEN(R172)&gt;2),4,IF(S172=TRUE,INDEX($Y$1:$Y$9,MATCH(R172,$X$1:$X$9,0)),""))</f>
        <v/>
      </c>
      <c r="U172">
        <f>IF(R172&lt;&gt;"",IF(Q177="",0,MATCH(TRUE,INDEX(Q177:$Q$1100="",0),0)-1),"")</f>
        <v/>
      </c>
      <c r="V172">
        <f>IF(AND(T172&lt;&gt;"",U172&lt;&gt;""),IF(U172-T172&lt;=0,"Falls Short",U172-T172),"")</f>
        <v/>
      </c>
      <c r="W172">
        <f>IF(AND(R172&lt;&gt;"",V172&lt;&gt;"Falls Short"),20*V172,"")</f>
        <v/>
      </c>
    </row>
    <row r="173" ht="15" customHeight="1" s="21">
      <c r="A173" s="43" t="inlineStr">
        <is>
          <t xml:space="preserve"> </t>
        </is>
      </c>
      <c r="B173" s="41" t="n"/>
      <c r="C173" s="41" t="n"/>
      <c r="D173" s="41" t="n"/>
      <c r="E173" s="41" t="n"/>
      <c r="F173" s="41" t="n"/>
      <c r="G173" s="41" t="n"/>
      <c r="H173" s="41" t="n"/>
      <c r="I173" s="41" t="n"/>
      <c r="J173" s="41" t="n"/>
      <c r="K173" s="41" t="n"/>
      <c r="L173" s="41" t="n"/>
      <c r="M173" s="41" t="n"/>
      <c r="N173" s="41" t="n"/>
      <c r="O173" s="41" t="n"/>
      <c r="Q173">
        <f>LEFT(I173,9)</f>
        <v/>
      </c>
      <c r="R173">
        <f>TRIM(B173)</f>
        <v/>
      </c>
      <c r="S173">
        <f>COUNTIF($X$1:$X$9,R173) &gt; 0</f>
        <v/>
      </c>
      <c r="T173">
        <f>IF(AND(S173=FALSE,LEN(R173)&gt;2),4,IF(S173=TRUE,INDEX($Y$1:$Y$9,MATCH(R173,$X$1:$X$9,0)),""))</f>
        <v/>
      </c>
      <c r="U173">
        <f>IF(R173&lt;&gt;"",IF(Q178="",0,MATCH(TRUE,INDEX(Q178:$Q$1100="",0),0)-1),"")</f>
        <v/>
      </c>
      <c r="V173">
        <f>IF(AND(T173&lt;&gt;"",U173&lt;&gt;""),IF(U173-T173&lt;=0,"Falls Short",U173-T173),"")</f>
        <v/>
      </c>
      <c r="W173">
        <f>IF(AND(R173&lt;&gt;"",V173&lt;&gt;"Falls Short"),20*V173,"")</f>
        <v/>
      </c>
    </row>
    <row r="174" ht="15" customHeight="1" s="21">
      <c r="A174" s="48" t="inlineStr">
        <is>
          <t xml:space="preserve"> </t>
        </is>
      </c>
      <c r="B174" s="41" t="n"/>
      <c r="C174" s="41" t="n"/>
      <c r="D174" s="46" t="n"/>
      <c r="E174" s="41" t="n"/>
      <c r="F174" s="41" t="n"/>
      <c r="G174" s="41" t="n"/>
      <c r="H174" s="41" t="n"/>
      <c r="I174" s="48" t="inlineStr">
        <is>
          <t>15-DEC-25</t>
        </is>
      </c>
      <c r="J174" s="41" t="n"/>
      <c r="K174" s="48" t="inlineStr">
        <is>
          <t>Training D</t>
        </is>
      </c>
      <c r="L174" s="41" t="n"/>
      <c r="M174" s="48" t="inlineStr">
        <is>
          <t xml:space="preserve">CDI </t>
        </is>
      </c>
      <c r="N174" s="41" t="n"/>
      <c r="O174" s="41" t="n"/>
      <c r="Q174">
        <f>LEFT(I174,9)</f>
        <v/>
      </c>
      <c r="R174">
        <f>TRIM(B174)</f>
        <v/>
      </c>
      <c r="S174">
        <f>COUNTIF($X$1:$X$9,R174) &gt; 0</f>
        <v/>
      </c>
      <c r="T174">
        <f>IF(AND(S174=FALSE,LEN(R174)&gt;2),4,IF(S174=TRUE,INDEX($Y$1:$Y$9,MATCH(R174,$X$1:$X$9,0)),""))</f>
        <v/>
      </c>
      <c r="U174">
        <f>IF(R174&lt;&gt;"",IF(Q179="",0,MATCH(TRUE,INDEX(Q179:$Q$1100="",0),0)-1),"")</f>
        <v/>
      </c>
      <c r="V174">
        <f>IF(AND(T174&lt;&gt;"",U174&lt;&gt;""),IF(U174-T174&lt;=0,"Falls Short",U174-T174),"")</f>
        <v/>
      </c>
      <c r="W174">
        <f>IF(AND(R174&lt;&gt;"",V174&lt;&gt;"Falls Short"),20*V174,"")</f>
        <v/>
      </c>
    </row>
    <row r="175" ht="15" customHeight="1" s="21">
      <c r="A175" s="48" t="inlineStr">
        <is>
          <t xml:space="preserve"> </t>
        </is>
      </c>
      <c r="B175" s="41" t="n"/>
      <c r="C175" s="41" t="n"/>
      <c r="D175" s="46" t="n"/>
      <c r="E175" s="41" t="n"/>
      <c r="F175" s="41" t="n"/>
      <c r="G175" s="41" t="n"/>
      <c r="H175" s="41" t="n"/>
      <c r="I175" s="48" t="inlineStr">
        <is>
          <t>16-DEC-25</t>
        </is>
      </c>
      <c r="J175" s="41" t="n"/>
      <c r="K175" s="48" t="inlineStr">
        <is>
          <t>Training D</t>
        </is>
      </c>
      <c r="L175" s="41" t="n"/>
      <c r="M175" s="48" t="inlineStr">
        <is>
          <t xml:space="preserve">CDI </t>
        </is>
      </c>
      <c r="N175" s="41" t="n"/>
      <c r="O175" s="41" t="n"/>
      <c r="Q175">
        <f>LEFT(I175,9)</f>
        <v/>
      </c>
      <c r="R175">
        <f>TRIM(B175)</f>
        <v/>
      </c>
      <c r="S175">
        <f>COUNTIF($X$1:$X$9,R175) &gt; 0</f>
        <v/>
      </c>
      <c r="T175">
        <f>IF(AND(S175=FALSE,LEN(R175)&gt;2),4,IF(S175=TRUE,INDEX($Y$1:$Y$9,MATCH(R175,$X$1:$X$9,0)),""))</f>
        <v/>
      </c>
      <c r="U175">
        <f>IF(R175&lt;&gt;"",IF(Q180="",0,MATCH(TRUE,INDEX(Q180:$Q$1100="",0),0)-1),"")</f>
        <v/>
      </c>
      <c r="V175">
        <f>IF(AND(T175&lt;&gt;"",U175&lt;&gt;""),IF(U175-T175&lt;=0,"Falls Short",U175-T175),"")</f>
        <v/>
      </c>
      <c r="W175">
        <f>IF(AND(R175&lt;&gt;"",V175&lt;&gt;"Falls Short"),20*V175,"")</f>
        <v/>
      </c>
    </row>
    <row r="176" ht="15" customHeight="1" s="21">
      <c r="A176" s="49" t="inlineStr">
        <is>
          <t xml:space="preserve"> </t>
        </is>
      </c>
      <c r="B176" s="41" t="n"/>
      <c r="C176" s="41" t="n"/>
      <c r="D176" s="41" t="n"/>
      <c r="E176" s="41" t="n"/>
      <c r="F176" s="41" t="n"/>
      <c r="G176" s="41" t="n"/>
      <c r="H176" s="41" t="n"/>
      <c r="I176" s="41" t="n"/>
      <c r="J176" s="41" t="n"/>
      <c r="K176" s="41" t="n"/>
      <c r="L176" s="41" t="n"/>
      <c r="M176" s="41" t="n"/>
      <c r="N176" s="41" t="n"/>
      <c r="O176" s="41" t="n"/>
      <c r="Q176">
        <f>LEFT(I176,9)</f>
        <v/>
      </c>
      <c r="R176">
        <f>TRIM(B176)</f>
        <v/>
      </c>
      <c r="S176">
        <f>COUNTIF($X$1:$X$9,R176) &gt; 0</f>
        <v/>
      </c>
      <c r="T176">
        <f>IF(AND(S176=FALSE,LEN(R176)&gt;2),4,IF(S176=TRUE,INDEX($Y$1:$Y$9,MATCH(R176,$X$1:$X$9,0)),""))</f>
        <v/>
      </c>
      <c r="U176">
        <f>IF(R176&lt;&gt;"",IF(Q181="",0,MATCH(TRUE,INDEX(Q181:$Q$1100="",0),0)-1),"")</f>
        <v/>
      </c>
      <c r="V176">
        <f>IF(AND(T176&lt;&gt;"",U176&lt;&gt;""),IF(U176-T176&lt;=0,"Falls Short",U176-T176),"")</f>
        <v/>
      </c>
      <c r="W176">
        <f>IF(AND(R176&lt;&gt;"",V176&lt;&gt;"Falls Short"),20*V176,"")</f>
        <v/>
      </c>
    </row>
    <row r="177" ht="15" customHeight="1" s="21">
      <c r="A177" s="49" t="inlineStr">
        <is>
          <t xml:space="preserve"> </t>
        </is>
      </c>
      <c r="B177" s="41" t="n"/>
      <c r="C177" s="41" t="n"/>
      <c r="D177" s="41" t="n"/>
      <c r="E177" s="41" t="n"/>
      <c r="F177" s="41" t="n"/>
      <c r="G177" s="41" t="n"/>
      <c r="H177" s="41" t="n"/>
      <c r="I177" s="41" t="n"/>
      <c r="J177" s="41" t="n"/>
      <c r="K177" s="41" t="n"/>
      <c r="L177" s="41" t="n"/>
      <c r="M177" s="41" t="n"/>
      <c r="N177" s="41" t="n"/>
      <c r="O177" s="41" t="n"/>
      <c r="Q177">
        <f>LEFT(I177,9)</f>
        <v/>
      </c>
      <c r="R177">
        <f>TRIM(B177)</f>
        <v/>
      </c>
      <c r="S177">
        <f>COUNTIF($X$1:$X$9,R177) &gt; 0</f>
        <v/>
      </c>
      <c r="T177">
        <f>IF(AND(S177=FALSE,LEN(R177)&gt;2),4,IF(S177=TRUE,INDEX($Y$1:$Y$9,MATCH(R177,$X$1:$X$9,0)),""))</f>
        <v/>
      </c>
      <c r="U177">
        <f>IF(R177&lt;&gt;"",IF(Q182="",0,MATCH(TRUE,INDEX(Q182:$Q$1100="",0),0)-1),"")</f>
        <v/>
      </c>
      <c r="V177">
        <f>IF(AND(T177&lt;&gt;"",U177&lt;&gt;""),IF(U177-T177&lt;=0,"Falls Short",U177-T177),"")</f>
        <v/>
      </c>
      <c r="W177">
        <f>IF(AND(R177&lt;&gt;"",V177&lt;&gt;"Falls Short"),20*V177,"")</f>
        <v/>
      </c>
    </row>
    <row r="178" ht="15" customHeight="1" s="21">
      <c r="A178" s="43" t="inlineStr">
        <is>
          <t xml:space="preserve"> </t>
        </is>
      </c>
      <c r="B178" s="41" t="n"/>
      <c r="C178" s="41" t="n"/>
      <c r="D178" s="41" t="n"/>
      <c r="E178" s="41" t="n"/>
      <c r="F178" s="41" t="n"/>
      <c r="G178" s="41" t="n"/>
      <c r="H178" s="41" t="n"/>
      <c r="I178" s="41" t="n"/>
      <c r="J178" s="41" t="n"/>
      <c r="K178" s="41" t="n"/>
      <c r="L178" s="41" t="n"/>
      <c r="M178" s="41" t="n"/>
      <c r="N178" s="41" t="n"/>
      <c r="O178" s="41" t="n"/>
      <c r="Q178">
        <f>LEFT(I178,9)</f>
        <v/>
      </c>
      <c r="R178">
        <f>TRIM(B178)</f>
        <v/>
      </c>
      <c r="S178">
        <f>COUNTIF($X$1:$X$9,R178) &gt; 0</f>
        <v/>
      </c>
      <c r="T178">
        <f>IF(AND(S178=FALSE,LEN(R178)&gt;2),4,IF(S178=TRUE,INDEX($Y$1:$Y$9,MATCH(R178,$X$1:$X$9,0)),""))</f>
        <v/>
      </c>
      <c r="U178">
        <f>IF(R178&lt;&gt;"",IF(Q183="",0,MATCH(TRUE,INDEX(Q183:$Q$1100="",0),0)-1),"")</f>
        <v/>
      </c>
      <c r="V178">
        <f>IF(AND(T178&lt;&gt;"",U178&lt;&gt;""),IF(U178-T178&lt;=0,"Falls Short",U178-T178),"")</f>
        <v/>
      </c>
      <c r="W178">
        <f>IF(AND(R178&lt;&gt;"",V178&lt;&gt;"Falls Short"),20*V178,"")</f>
        <v/>
      </c>
    </row>
    <row r="179" ht="15" customHeight="1" s="21">
      <c r="A179" s="44" t="n"/>
      <c r="B179" s="44" t="n"/>
      <c r="C179" s="44" t="n"/>
      <c r="D179" s="41" t="n"/>
      <c r="E179" s="41" t="n"/>
      <c r="F179" s="41" t="n"/>
      <c r="G179" s="44" t="n"/>
      <c r="H179" s="45" t="inlineStr">
        <is>
          <t>Month</t>
        </is>
      </c>
      <c r="I179" s="41" t="n"/>
      <c r="J179" s="45" t="inlineStr">
        <is>
          <t>Days</t>
        </is>
      </c>
      <c r="K179" s="41" t="n"/>
      <c r="L179" s="41" t="n"/>
      <c r="M179" s="45" t="inlineStr">
        <is>
          <t>Total</t>
        </is>
      </c>
      <c r="N179" s="41" t="n"/>
      <c r="O179" s="41" t="n"/>
      <c r="Q179">
        <f>LEFT(I179,9)</f>
        <v/>
      </c>
      <c r="R179">
        <f>TRIM(B179)</f>
        <v/>
      </c>
      <c r="S179">
        <f>COUNTIF($X$1:$X$9,R179) &gt; 0</f>
        <v/>
      </c>
      <c r="T179">
        <f>IF(AND(S179=FALSE,LEN(R179)&gt;2),4,IF(S179=TRUE,INDEX($Y$1:$Y$9,MATCH(R179,$X$1:$X$9,0)),""))</f>
        <v/>
      </c>
      <c r="U179">
        <f>IF(R179&lt;&gt;"",IF(Q184="",0,MATCH(TRUE,INDEX(Q184:$Q$1100="",0),0)-1),"")</f>
        <v/>
      </c>
      <c r="V179">
        <f>IF(AND(T179&lt;&gt;"",U179&lt;&gt;""),IF(U179-T179&lt;=0,"Falls Short",U179-T179),"")</f>
        <v/>
      </c>
      <c r="W179">
        <f>IF(AND(R179&lt;&gt;"",V179&lt;&gt;"Falls Short"),20*V179,"")</f>
        <v/>
      </c>
    </row>
    <row r="180" ht="15" customHeight="1" s="21">
      <c r="A180" s="46" t="inlineStr">
        <is>
          <t>Job Role X</t>
        </is>
      </c>
      <c r="B180" s="42" t="inlineStr">
        <is>
          <t>AXB</t>
        </is>
      </c>
      <c r="C180" s="42" t="inlineStr">
        <is>
          <t xml:space="preserve">   PAVO NORTH</t>
        </is>
      </c>
      <c r="D180" s="41" t="n"/>
      <c r="E180" s="41" t="n"/>
      <c r="F180" s="41" t="n"/>
      <c r="G180" s="42" t="inlineStr">
        <is>
          <t xml:space="preserve">10055        </t>
        </is>
      </c>
      <c r="H180" s="47" t="n"/>
      <c r="I180" s="41" t="n"/>
      <c r="J180" s="47" t="n"/>
      <c r="K180" s="41" t="n"/>
      <c r="L180" s="41" t="n"/>
      <c r="M180" s="47" t="n"/>
      <c r="N180" s="41" t="n"/>
      <c r="O180" s="41" t="n"/>
      <c r="Q180">
        <f>LEFT(I180,9)</f>
        <v/>
      </c>
      <c r="R180">
        <f>TRIM(B180)</f>
        <v/>
      </c>
      <c r="S180">
        <f>COUNTIF($X$1:$X$9,R180) &gt; 0</f>
        <v/>
      </c>
      <c r="T180">
        <f>IF(AND(S180=FALSE,LEN(R180)&gt;2),4,IF(S180=TRUE,INDEX($Y$1:$Y$9,MATCH(R180,$X$1:$X$9,0)),""))</f>
        <v/>
      </c>
      <c r="U180">
        <f>IF(R180&lt;&gt;"",IF(Q185="",0,MATCH(TRUE,INDEX(Q185:$Q$1100="",0),0)-1),"")</f>
        <v/>
      </c>
      <c r="V180">
        <f>IF(AND(T180&lt;&gt;"",U180&lt;&gt;""),IF(U180-T180&lt;=0,"Falls Short",U180-T180),"")</f>
        <v/>
      </c>
      <c r="W180">
        <f>IF(AND(R180&lt;&gt;"",V180&lt;&gt;"Falls Short"),20*V180,"")</f>
        <v/>
      </c>
    </row>
    <row r="181" ht="15" customHeight="1" s="21">
      <c r="A181" s="42" t="n"/>
      <c r="B181" s="46" t="n"/>
      <c r="C181" s="46" t="n"/>
      <c r="D181" s="41" t="n"/>
      <c r="E181" s="41" t="n"/>
      <c r="F181" s="41" t="n"/>
      <c r="G181" s="46" t="n"/>
      <c r="H181" s="46" t="n"/>
      <c r="I181" s="41" t="n"/>
      <c r="J181" s="46" t="n"/>
      <c r="K181" s="41" t="n"/>
      <c r="L181" s="41" t="n"/>
      <c r="M181" s="48" t="inlineStr">
        <is>
          <t>4</t>
        </is>
      </c>
      <c r="N181" s="41" t="n"/>
      <c r="O181" s="41" t="n"/>
      <c r="Q181">
        <f>LEFT(I181,9)</f>
        <v/>
      </c>
      <c r="R181">
        <f>TRIM(B181)</f>
        <v/>
      </c>
      <c r="S181">
        <f>COUNTIF($X$1:$X$9,R181) &gt; 0</f>
        <v/>
      </c>
      <c r="T181">
        <f>IF(AND(S181=FALSE,LEN(R181)&gt;2),4,IF(S181=TRUE,INDEX($Y$1:$Y$9,MATCH(R181,$X$1:$X$9,0)),""))</f>
        <v/>
      </c>
      <c r="U181">
        <f>IF(R181&lt;&gt;"",IF(Q186="",0,MATCH(TRUE,INDEX(Q186:$Q$1100="",0),0)-1),"")</f>
        <v/>
      </c>
      <c r="V181">
        <f>IF(AND(T181&lt;&gt;"",U181&lt;&gt;""),IF(U181-T181&lt;=0,"Falls Short",U181-T181),"")</f>
        <v/>
      </c>
      <c r="W181">
        <f>IF(AND(R181&lt;&gt;"",V181&lt;&gt;"Falls Short"),20*V181,"")</f>
        <v/>
      </c>
    </row>
    <row r="182" ht="15" customHeight="1" s="21">
      <c r="A182" s="43" t="inlineStr">
        <is>
          <t xml:space="preserve"> </t>
        </is>
      </c>
      <c r="B182" s="41" t="n"/>
      <c r="C182" s="41" t="n"/>
      <c r="D182" s="41" t="n"/>
      <c r="E182" s="41" t="n"/>
      <c r="F182" s="41" t="n"/>
      <c r="G182" s="41" t="n"/>
      <c r="H182" s="41" t="n"/>
      <c r="I182" s="41" t="n"/>
      <c r="J182" s="41" t="n"/>
      <c r="K182" s="41" t="n"/>
      <c r="L182" s="41" t="n"/>
      <c r="M182" s="41" t="n"/>
      <c r="N182" s="41" t="n"/>
      <c r="O182" s="41" t="n"/>
      <c r="Q182">
        <f>LEFT(I182,9)</f>
        <v/>
      </c>
      <c r="R182">
        <f>TRIM(B182)</f>
        <v/>
      </c>
      <c r="S182">
        <f>COUNTIF($X$1:$X$9,R182) &gt; 0</f>
        <v/>
      </c>
      <c r="T182">
        <f>IF(AND(S182=FALSE,LEN(R182)&gt;2),4,IF(S182=TRUE,INDEX($Y$1:$Y$9,MATCH(R182,$X$1:$X$9,0)),""))</f>
        <v/>
      </c>
      <c r="U182">
        <f>IF(R182&lt;&gt;"",IF(Q187="",0,MATCH(TRUE,INDEX(Q187:$Q$1100="",0),0)-1),"")</f>
        <v/>
      </c>
      <c r="V182">
        <f>IF(AND(T182&lt;&gt;"",U182&lt;&gt;""),IF(U182-T182&lt;=0,"Falls Short",U182-T182),"")</f>
        <v/>
      </c>
      <c r="W182">
        <f>IF(AND(R182&lt;&gt;"",V182&lt;&gt;"Falls Short"),20*V182,"")</f>
        <v/>
      </c>
    </row>
    <row r="183" ht="21.8" customHeight="1" s="21">
      <c r="A183" s="46" t="n"/>
      <c r="B183" s="41" t="n"/>
      <c r="C183" s="41" t="n"/>
      <c r="D183" s="41" t="n"/>
      <c r="E183" s="46" t="n"/>
      <c r="F183" s="41" t="n"/>
      <c r="G183" s="41" t="n"/>
      <c r="H183" s="48" t="inlineStr">
        <is>
          <t>12 / 2025</t>
        </is>
      </c>
      <c r="I183" s="41" t="n"/>
      <c r="J183" s="48" t="inlineStr">
        <is>
          <t>4</t>
        </is>
      </c>
      <c r="K183" s="46" t="n"/>
      <c r="L183" s="41" t="n"/>
      <c r="M183" s="41" t="n"/>
      <c r="N183" s="41" t="n"/>
      <c r="O183" s="41" t="n"/>
      <c r="Q183">
        <f>LEFT(I183,9)</f>
        <v/>
      </c>
      <c r="R183">
        <f>TRIM(B183)</f>
        <v/>
      </c>
      <c r="S183">
        <f>COUNTIF($X$1:$X$9,R183) &gt; 0</f>
        <v/>
      </c>
      <c r="T183">
        <f>IF(AND(S183=FALSE,LEN(R183)&gt;2),4,IF(S183=TRUE,INDEX($Y$1:$Y$9,MATCH(R183,$X$1:$X$9,0)),""))</f>
        <v/>
      </c>
      <c r="U183">
        <f>IF(R183&lt;&gt;"",IF(Q188="",0,MATCH(TRUE,INDEX(Q188:$Q$1100="",0),0)-1),"")</f>
        <v/>
      </c>
      <c r="V183">
        <f>IF(AND(T183&lt;&gt;"",U183&lt;&gt;""),IF(U183-T183&lt;=0,"Falls Short",U183-T183),"")</f>
        <v/>
      </c>
      <c r="W183">
        <f>IF(AND(R183&lt;&gt;"",V183&lt;&gt;"Falls Short"),20*V183,"")</f>
        <v/>
      </c>
    </row>
    <row r="184" ht="15" customHeight="1" s="21">
      <c r="A184" s="43" t="inlineStr">
        <is>
          <t xml:space="preserve"> </t>
        </is>
      </c>
      <c r="B184" s="41" t="n"/>
      <c r="C184" s="41" t="n"/>
      <c r="D184" s="41" t="n"/>
      <c r="E184" s="41" t="n"/>
      <c r="F184" s="41" t="n"/>
      <c r="G184" s="41" t="n"/>
      <c r="H184" s="41" t="n"/>
      <c r="I184" s="41" t="n"/>
      <c r="J184" s="41" t="n"/>
      <c r="K184" s="41" t="n"/>
      <c r="L184" s="41" t="n"/>
      <c r="M184" s="41" t="n"/>
      <c r="N184" s="41" t="n"/>
      <c r="O184" s="41" t="n"/>
      <c r="Q184">
        <f>LEFT(I184,9)</f>
        <v/>
      </c>
      <c r="R184">
        <f>TRIM(B184)</f>
        <v/>
      </c>
      <c r="S184">
        <f>COUNTIF($X$1:$X$9,R184) &gt; 0</f>
        <v/>
      </c>
      <c r="T184">
        <f>IF(AND(S184=FALSE,LEN(R184)&gt;2),4,IF(S184=TRUE,INDEX($Y$1:$Y$9,MATCH(R184,$X$1:$X$9,0)),""))</f>
        <v/>
      </c>
      <c r="U184">
        <f>IF(R184&lt;&gt;"",IF(Q189="",0,MATCH(TRUE,INDEX(Q189:$Q$1100="",0),0)-1),"")</f>
        <v/>
      </c>
      <c r="V184">
        <f>IF(AND(T184&lt;&gt;"",U184&lt;&gt;""),IF(U184-T184&lt;=0,"Falls Short",U184-T184),"")</f>
        <v/>
      </c>
      <c r="W184">
        <f>IF(AND(R184&lt;&gt;"",V184&lt;&gt;"Falls Short"),20*V184,"")</f>
        <v/>
      </c>
    </row>
    <row r="185" ht="15" customHeight="1" s="21">
      <c r="A185" s="48" t="inlineStr">
        <is>
          <t xml:space="preserve"> </t>
        </is>
      </c>
      <c r="B185" s="41" t="n"/>
      <c r="C185" s="41" t="n"/>
      <c r="D185" s="46" t="n"/>
      <c r="E185" s="41" t="n"/>
      <c r="F185" s="41" t="n"/>
      <c r="G185" s="41" t="n"/>
      <c r="H185" s="41" t="n"/>
      <c r="I185" s="48" t="inlineStr">
        <is>
          <t>08-DEC-25</t>
        </is>
      </c>
      <c r="J185" s="41" t="n"/>
      <c r="K185" s="48" t="inlineStr">
        <is>
          <t>Training D</t>
        </is>
      </c>
      <c r="L185" s="41" t="n"/>
      <c r="M185" s="48" t="inlineStr">
        <is>
          <t xml:space="preserve">CDI </t>
        </is>
      </c>
      <c r="N185" s="41" t="n"/>
      <c r="O185" s="41" t="n"/>
      <c r="Q185">
        <f>LEFT(I185,9)</f>
        <v/>
      </c>
      <c r="R185">
        <f>TRIM(B185)</f>
        <v/>
      </c>
      <c r="S185">
        <f>COUNTIF($X$1:$X$9,R185) &gt; 0</f>
        <v/>
      </c>
      <c r="T185">
        <f>IF(AND(S185=FALSE,LEN(R185)&gt;2),4,IF(S185=TRUE,INDEX($Y$1:$Y$9,MATCH(R185,$X$1:$X$9,0)),""))</f>
        <v/>
      </c>
      <c r="U185">
        <f>IF(R185&lt;&gt;"",IF(Q190="",0,MATCH(TRUE,INDEX(Q190:$Q$1100="",0),0)-1),"")</f>
        <v/>
      </c>
      <c r="V185">
        <f>IF(AND(T185&lt;&gt;"",U185&lt;&gt;""),IF(U185-T185&lt;=0,"Falls Short",U185-T185),"")</f>
        <v/>
      </c>
      <c r="W185">
        <f>IF(AND(R185&lt;&gt;"",V185&lt;&gt;"Falls Short"),20*V185,"")</f>
        <v/>
      </c>
    </row>
    <row r="186" ht="15" customHeight="1" s="21">
      <c r="A186" s="48" t="inlineStr">
        <is>
          <t xml:space="preserve"> </t>
        </is>
      </c>
      <c r="B186" s="41" t="n"/>
      <c r="C186" s="41" t="n"/>
      <c r="D186" s="46" t="n"/>
      <c r="E186" s="41" t="n"/>
      <c r="F186" s="41" t="n"/>
      <c r="G186" s="41" t="n"/>
      <c r="H186" s="41" t="n"/>
      <c r="I186" s="48" t="inlineStr">
        <is>
          <t>16-DEC-25</t>
        </is>
      </c>
      <c r="J186" s="41" t="n"/>
      <c r="K186" s="48" t="inlineStr">
        <is>
          <t>Training D</t>
        </is>
      </c>
      <c r="L186" s="41" t="n"/>
      <c r="M186" s="48" t="inlineStr">
        <is>
          <t xml:space="preserve">CDI </t>
        </is>
      </c>
      <c r="N186" s="41" t="n"/>
      <c r="O186" s="41" t="n"/>
      <c r="Q186">
        <f>LEFT(I186,9)</f>
        <v/>
      </c>
      <c r="R186">
        <f>TRIM(B186)</f>
        <v/>
      </c>
      <c r="S186">
        <f>COUNTIF($X$1:$X$9,R186) &gt; 0</f>
        <v/>
      </c>
      <c r="T186">
        <f>IF(AND(S186=FALSE,LEN(R186)&gt;2),4,IF(S186=TRUE,INDEX($Y$1:$Y$9,MATCH(R186,$X$1:$X$9,0)),""))</f>
        <v/>
      </c>
      <c r="U186">
        <f>IF(R186&lt;&gt;"",IF(Q191="",0,MATCH(TRUE,INDEX(Q191:$Q$1100="",0),0)-1),"")</f>
        <v/>
      </c>
      <c r="V186">
        <f>IF(AND(T186&lt;&gt;"",U186&lt;&gt;""),IF(U186-T186&lt;=0,"Falls Short",U186-T186),"")</f>
        <v/>
      </c>
      <c r="W186">
        <f>IF(AND(R186&lt;&gt;"",V186&lt;&gt;"Falls Short"),20*V186,"")</f>
        <v/>
      </c>
    </row>
    <row r="187" ht="15" customHeight="1" s="21">
      <c r="A187" s="48" t="inlineStr">
        <is>
          <t xml:space="preserve"> </t>
        </is>
      </c>
      <c r="B187" s="41" t="n"/>
      <c r="C187" s="41" t="n"/>
      <c r="D187" s="46" t="n"/>
      <c r="E187" s="41" t="n"/>
      <c r="F187" s="41" t="n"/>
      <c r="G187" s="41" t="n"/>
      <c r="H187" s="41" t="n"/>
      <c r="I187" s="48" t="inlineStr">
        <is>
          <t>17-DEC-25</t>
        </is>
      </c>
      <c r="J187" s="41" t="n"/>
      <c r="K187" s="48" t="inlineStr">
        <is>
          <t>Training D</t>
        </is>
      </c>
      <c r="L187" s="41" t="n"/>
      <c r="M187" s="48" t="inlineStr">
        <is>
          <t xml:space="preserve">CDI </t>
        </is>
      </c>
      <c r="N187" s="41" t="n"/>
      <c r="O187" s="41" t="n"/>
      <c r="Q187">
        <f>LEFT(I187,9)</f>
        <v/>
      </c>
      <c r="R187">
        <f>TRIM(B187)</f>
        <v/>
      </c>
      <c r="S187">
        <f>COUNTIF($X$1:$X$9,R187) &gt; 0</f>
        <v/>
      </c>
      <c r="T187">
        <f>IF(AND(S187=FALSE,LEN(R187)&gt;2),4,IF(S187=TRUE,INDEX($Y$1:$Y$9,MATCH(R187,$X$1:$X$9,0)),""))</f>
        <v/>
      </c>
      <c r="U187">
        <f>IF(R187&lt;&gt;"",IF(Q192="",0,MATCH(TRUE,INDEX(Q192:$Q$1100="",0),0)-1),"")</f>
        <v/>
      </c>
      <c r="V187">
        <f>IF(AND(T187&lt;&gt;"",U187&lt;&gt;""),IF(U187-T187&lt;=0,"Falls Short",U187-T187),"")</f>
        <v/>
      </c>
      <c r="W187">
        <f>IF(AND(R187&lt;&gt;"",V187&lt;&gt;"Falls Short"),20*V187,"")</f>
        <v/>
      </c>
    </row>
    <row r="188" ht="15" customHeight="1" s="21">
      <c r="A188" s="48" t="inlineStr">
        <is>
          <t xml:space="preserve"> </t>
        </is>
      </c>
      <c r="B188" s="41" t="n"/>
      <c r="C188" s="41" t="n"/>
      <c r="D188" s="46" t="n"/>
      <c r="E188" s="41" t="n"/>
      <c r="F188" s="41" t="n"/>
      <c r="G188" s="41" t="n"/>
      <c r="H188" s="41" t="n"/>
      <c r="I188" s="48" t="inlineStr">
        <is>
          <t>19-DEC-25</t>
        </is>
      </c>
      <c r="J188" s="41" t="n"/>
      <c r="K188" s="48" t="inlineStr">
        <is>
          <t>Training C</t>
        </is>
      </c>
      <c r="L188" s="41" t="n"/>
      <c r="M188" s="48" t="inlineStr">
        <is>
          <t xml:space="preserve">CDI </t>
        </is>
      </c>
      <c r="N188" s="41" t="n"/>
      <c r="O188" s="41" t="n"/>
      <c r="Q188">
        <f>LEFT(I188,9)</f>
        <v/>
      </c>
      <c r="R188">
        <f>TRIM(B188)</f>
        <v/>
      </c>
      <c r="S188">
        <f>COUNTIF($X$1:$X$9,R188) &gt; 0</f>
        <v/>
      </c>
      <c r="T188">
        <f>IF(AND(S188=FALSE,LEN(R188)&gt;2),4,IF(S188=TRUE,INDEX($Y$1:$Y$9,MATCH(R188,$X$1:$X$9,0)),""))</f>
        <v/>
      </c>
      <c r="U188">
        <f>IF(R188&lt;&gt;"",IF(Q193="",0,MATCH(TRUE,INDEX(Q193:$Q$1100="",0),0)-1),"")</f>
        <v/>
      </c>
      <c r="V188">
        <f>IF(AND(T188&lt;&gt;"",U188&lt;&gt;""),IF(U188-T188&lt;=0,"Falls Short",U188-T188),"")</f>
        <v/>
      </c>
      <c r="W188">
        <f>IF(AND(R188&lt;&gt;"",V188&lt;&gt;"Falls Short"),20*V188,"")</f>
        <v/>
      </c>
    </row>
    <row r="189" ht="15" customHeight="1" s="21">
      <c r="A189" s="49" t="inlineStr">
        <is>
          <t xml:space="preserve"> </t>
        </is>
      </c>
      <c r="B189" s="41" t="n"/>
      <c r="C189" s="41" t="n"/>
      <c r="D189" s="41" t="n"/>
      <c r="E189" s="41" t="n"/>
      <c r="F189" s="41" t="n"/>
      <c r="G189" s="41" t="n"/>
      <c r="H189" s="41" t="n"/>
      <c r="I189" s="41" t="n"/>
      <c r="J189" s="41" t="n"/>
      <c r="K189" s="41" t="n"/>
      <c r="L189" s="41" t="n"/>
      <c r="M189" s="41" t="n"/>
      <c r="N189" s="41" t="n"/>
      <c r="O189" s="41" t="n"/>
      <c r="Q189">
        <f>LEFT(I189,9)</f>
        <v/>
      </c>
      <c r="R189">
        <f>TRIM(B189)</f>
        <v/>
      </c>
      <c r="S189">
        <f>COUNTIF($X$1:$X$9,R189) &gt; 0</f>
        <v/>
      </c>
      <c r="T189">
        <f>IF(AND(S189=FALSE,LEN(R189)&gt;2),4,IF(S189=TRUE,INDEX($Y$1:$Y$9,MATCH(R189,$X$1:$X$9,0)),""))</f>
        <v/>
      </c>
      <c r="U189">
        <f>IF(R189&lt;&gt;"",IF(Q194="",0,MATCH(TRUE,INDEX(Q194:$Q$1100="",0),0)-1),"")</f>
        <v/>
      </c>
      <c r="V189">
        <f>IF(AND(T189&lt;&gt;"",U189&lt;&gt;""),IF(U189-T189&lt;=0,"Falls Short",U189-T189),"")</f>
        <v/>
      </c>
      <c r="W189">
        <f>IF(AND(R189&lt;&gt;"",V189&lt;&gt;"Falls Short"),20*V189,"")</f>
        <v/>
      </c>
    </row>
    <row r="190" ht="15" customHeight="1" s="21">
      <c r="A190" s="49" t="inlineStr">
        <is>
          <t xml:space="preserve"> </t>
        </is>
      </c>
      <c r="B190" s="41" t="n"/>
      <c r="C190" s="41" t="n"/>
      <c r="D190" s="41" t="n"/>
      <c r="E190" s="41" t="n"/>
      <c r="F190" s="41" t="n"/>
      <c r="G190" s="41" t="n"/>
      <c r="H190" s="41" t="n"/>
      <c r="I190" s="41" t="n"/>
      <c r="J190" s="41" t="n"/>
      <c r="K190" s="41" t="n"/>
      <c r="L190" s="41" t="n"/>
      <c r="M190" s="41" t="n"/>
      <c r="N190" s="41" t="n"/>
      <c r="O190" s="41" t="n"/>
      <c r="Q190">
        <f>LEFT(I190,9)</f>
        <v/>
      </c>
      <c r="R190">
        <f>TRIM(B190)</f>
        <v/>
      </c>
      <c r="S190">
        <f>COUNTIF($X$1:$X$9,R190) &gt; 0</f>
        <v/>
      </c>
      <c r="T190">
        <f>IF(AND(S190=FALSE,LEN(R190)&gt;2),4,IF(S190=TRUE,INDEX($Y$1:$Y$9,MATCH(R190,$X$1:$X$9,0)),""))</f>
        <v/>
      </c>
      <c r="U190">
        <f>IF(R190&lt;&gt;"",IF(Q195="",0,MATCH(TRUE,INDEX(Q195:$Q$1100="",0),0)-1),"")</f>
        <v/>
      </c>
      <c r="V190">
        <f>IF(AND(T190&lt;&gt;"",U190&lt;&gt;""),IF(U190-T190&lt;=0,"Falls Short",U190-T190),"")</f>
        <v/>
      </c>
      <c r="W190">
        <f>IF(AND(R190&lt;&gt;"",V190&lt;&gt;"Falls Short"),20*V190,"")</f>
        <v/>
      </c>
    </row>
    <row r="191" ht="15" customHeight="1" s="21">
      <c r="A191" s="43" t="inlineStr">
        <is>
          <t xml:space="preserve"> </t>
        </is>
      </c>
      <c r="B191" s="41" t="n"/>
      <c r="C191" s="41" t="n"/>
      <c r="D191" s="41" t="n"/>
      <c r="E191" s="41" t="n"/>
      <c r="F191" s="41" t="n"/>
      <c r="G191" s="41" t="n"/>
      <c r="H191" s="41" t="n"/>
      <c r="I191" s="41" t="n"/>
      <c r="J191" s="41" t="n"/>
      <c r="K191" s="41" t="n"/>
      <c r="L191" s="41" t="n"/>
      <c r="M191" s="41" t="n"/>
      <c r="N191" s="41" t="n"/>
      <c r="O191" s="41" t="n"/>
      <c r="Q191">
        <f>LEFT(I191,9)</f>
        <v/>
      </c>
      <c r="R191">
        <f>TRIM(B191)</f>
        <v/>
      </c>
      <c r="S191">
        <f>COUNTIF($X$1:$X$9,R191) &gt; 0</f>
        <v/>
      </c>
      <c r="T191">
        <f>IF(AND(S191=FALSE,LEN(R191)&gt;2),4,IF(S191=TRUE,INDEX($Y$1:$Y$9,MATCH(R191,$X$1:$X$9,0)),""))</f>
        <v/>
      </c>
      <c r="U191">
        <f>IF(R191&lt;&gt;"",IF(Q196="",0,MATCH(TRUE,INDEX(Q196:$Q$1100="",0),0)-1),"")</f>
        <v/>
      </c>
      <c r="V191">
        <f>IF(AND(T191&lt;&gt;"",U191&lt;&gt;""),IF(U191-T191&lt;=0,"Falls Short",U191-T191),"")</f>
        <v/>
      </c>
      <c r="W191">
        <f>IF(AND(R191&lt;&gt;"",V191&lt;&gt;"Falls Short"),20*V191,"")</f>
        <v/>
      </c>
    </row>
    <row r="192" ht="15" customHeight="1" s="21">
      <c r="A192" s="44" t="n"/>
      <c r="B192" s="44" t="n"/>
      <c r="C192" s="44" t="n"/>
      <c r="D192" s="41" t="n"/>
      <c r="E192" s="41" t="n"/>
      <c r="F192" s="41" t="n"/>
      <c r="G192" s="44" t="n"/>
      <c r="H192" s="45" t="inlineStr">
        <is>
          <t>Month</t>
        </is>
      </c>
      <c r="I192" s="41" t="n"/>
      <c r="J192" s="45" t="inlineStr">
        <is>
          <t>Days</t>
        </is>
      </c>
      <c r="K192" s="41" t="n"/>
      <c r="L192" s="41" t="n"/>
      <c r="M192" s="45" t="inlineStr">
        <is>
          <t>Total</t>
        </is>
      </c>
      <c r="N192" s="41" t="n"/>
      <c r="O192" s="41" t="n"/>
      <c r="Q192">
        <f>LEFT(I192,9)</f>
        <v/>
      </c>
      <c r="R192">
        <f>TRIM(B192)</f>
        <v/>
      </c>
      <c r="S192">
        <f>COUNTIF($X$1:$X$9,R192) &gt; 0</f>
        <v/>
      </c>
      <c r="T192">
        <f>IF(AND(S192=FALSE,LEN(R192)&gt;2),4,IF(S192=TRUE,INDEX($Y$1:$Y$9,MATCH(R192,$X$1:$X$9,0)),""))</f>
        <v/>
      </c>
      <c r="U192">
        <f>IF(R192&lt;&gt;"",IF(Q197="",0,MATCH(TRUE,INDEX(Q197:$Q$1100="",0),0)-1),"")</f>
        <v/>
      </c>
      <c r="V192">
        <f>IF(AND(T192&lt;&gt;"",U192&lt;&gt;""),IF(U192-T192&lt;=0,"Falls Short",U192-T192),"")</f>
        <v/>
      </c>
      <c r="W192">
        <f>IF(AND(R192&lt;&gt;"",V192&lt;&gt;"Falls Short"),20*V192,"")</f>
        <v/>
      </c>
    </row>
    <row r="193" ht="15" customHeight="1" s="21">
      <c r="A193" s="46" t="inlineStr">
        <is>
          <t>Job Role X</t>
        </is>
      </c>
      <c r="B193" s="42" t="inlineStr">
        <is>
          <t>AZD</t>
        </is>
      </c>
      <c r="C193" s="42" t="inlineStr">
        <is>
          <t xml:space="preserve">   MUSCA EAST</t>
        </is>
      </c>
      <c r="D193" s="41" t="n"/>
      <c r="E193" s="41" t="n"/>
      <c r="F193" s="41" t="n"/>
      <c r="G193" s="42" t="inlineStr">
        <is>
          <t xml:space="preserve">10012       </t>
        </is>
      </c>
      <c r="H193" s="47" t="n"/>
      <c r="I193" s="41" t="n"/>
      <c r="J193" s="47" t="n"/>
      <c r="K193" s="41" t="n"/>
      <c r="L193" s="41" t="n"/>
      <c r="M193" s="47" t="n"/>
      <c r="N193" s="41" t="n"/>
      <c r="O193" s="41" t="n"/>
      <c r="Q193">
        <f>LEFT(I193,9)</f>
        <v/>
      </c>
      <c r="R193">
        <f>TRIM(B193)</f>
        <v/>
      </c>
      <c r="S193">
        <f>COUNTIF($X$1:$X$9,R193) &gt; 0</f>
        <v/>
      </c>
      <c r="T193">
        <f>IF(AND(S193=FALSE,LEN(R193)&gt;2),4,IF(S193=TRUE,INDEX($Y$1:$Y$9,MATCH(R193,$X$1:$X$9,0)),""))</f>
        <v/>
      </c>
      <c r="U193">
        <f>IF(R193&lt;&gt;"",IF(Q198="",0,MATCH(TRUE,INDEX(Q198:$Q$1100="",0),0)-1),"")</f>
        <v/>
      </c>
      <c r="V193">
        <f>IF(AND(T193&lt;&gt;"",U193&lt;&gt;""),IF(U193-T193&lt;=0,"Falls Short",U193-T193),"")</f>
        <v/>
      </c>
      <c r="W193">
        <f>IF(AND(R193&lt;&gt;"",V193&lt;&gt;"Falls Short"),20*V193,"")</f>
        <v/>
      </c>
    </row>
    <row r="194" ht="21.8" customHeight="1" s="21">
      <c r="A194" s="42" t="n"/>
      <c r="B194" s="46" t="n"/>
      <c r="C194" s="46" t="n"/>
      <c r="D194" s="41" t="n"/>
      <c r="E194" s="41" t="n"/>
      <c r="F194" s="41" t="n"/>
      <c r="G194" s="46" t="n"/>
      <c r="H194" s="46" t="n"/>
      <c r="I194" s="41" t="n"/>
      <c r="J194" s="46" t="n"/>
      <c r="K194" s="41" t="n"/>
      <c r="L194" s="41" t="n"/>
      <c r="M194" s="48" t="inlineStr">
        <is>
          <t>1</t>
        </is>
      </c>
      <c r="N194" s="41" t="n"/>
      <c r="O194" s="41" t="n"/>
      <c r="Q194">
        <f>LEFT(I194,9)</f>
        <v/>
      </c>
      <c r="R194">
        <f>TRIM(B194)</f>
        <v/>
      </c>
      <c r="S194">
        <f>COUNTIF($X$1:$X$9,R194) &gt; 0</f>
        <v/>
      </c>
      <c r="T194">
        <f>IF(AND(S194=FALSE,LEN(R194)&gt;2),4,IF(S194=TRUE,INDEX($Y$1:$Y$9,MATCH(R194,$X$1:$X$9,0)),""))</f>
        <v/>
      </c>
      <c r="U194">
        <f>IF(R194&lt;&gt;"",IF(Q199="",0,MATCH(TRUE,INDEX(Q199:$Q$1100="",0),0)-1),"")</f>
        <v/>
      </c>
      <c r="V194">
        <f>IF(AND(T194&lt;&gt;"",U194&lt;&gt;""),IF(U194-T194&lt;=0,"Falls Short",U194-T194),"")</f>
        <v/>
      </c>
      <c r="W194">
        <f>IF(AND(R194&lt;&gt;"",V194&lt;&gt;"Falls Short"),20*V194,"")</f>
        <v/>
      </c>
    </row>
    <row r="195" ht="15" customHeight="1" s="21">
      <c r="A195" s="43" t="inlineStr">
        <is>
          <t xml:space="preserve"> </t>
        </is>
      </c>
      <c r="B195" s="41" t="n"/>
      <c r="C195" s="41" t="n"/>
      <c r="D195" s="41" t="n"/>
      <c r="E195" s="41" t="n"/>
      <c r="F195" s="41" t="n"/>
      <c r="G195" s="41" t="n"/>
      <c r="H195" s="41" t="n"/>
      <c r="I195" s="41" t="n"/>
      <c r="J195" s="41" t="n"/>
      <c r="K195" s="41" t="n"/>
      <c r="L195" s="41" t="n"/>
      <c r="M195" s="41" t="n"/>
      <c r="N195" s="41" t="n"/>
      <c r="O195" s="41" t="n"/>
      <c r="Q195">
        <f>LEFT(I195,9)</f>
        <v/>
      </c>
      <c r="R195">
        <f>TRIM(B195)</f>
        <v/>
      </c>
      <c r="S195">
        <f>COUNTIF($X$1:$X$9,R195) &gt; 0</f>
        <v/>
      </c>
      <c r="T195">
        <f>IF(AND(S195=FALSE,LEN(R195)&gt;2),4,IF(S195=TRUE,INDEX($Y$1:$Y$9,MATCH(R195,$X$1:$X$9,0)),""))</f>
        <v/>
      </c>
      <c r="U195">
        <f>IF(R195&lt;&gt;"",IF(Q200="",0,MATCH(TRUE,INDEX(Q200:$Q$1100="",0),0)-1),"")</f>
        <v/>
      </c>
      <c r="V195">
        <f>IF(AND(T195&lt;&gt;"",U195&lt;&gt;""),IF(U195-T195&lt;=0,"Falls Short",U195-T195),"")</f>
        <v/>
      </c>
      <c r="W195">
        <f>IF(AND(R195&lt;&gt;"",V195&lt;&gt;"Falls Short"),20*V195,"")</f>
        <v/>
      </c>
    </row>
    <row r="196" ht="15" customHeight="1" s="21">
      <c r="A196" s="46" t="n"/>
      <c r="B196" s="41" t="n"/>
      <c r="C196" s="41" t="n"/>
      <c r="D196" s="41" t="n"/>
      <c r="E196" s="46" t="n"/>
      <c r="F196" s="41" t="n"/>
      <c r="G196" s="41" t="n"/>
      <c r="H196" s="48" t="inlineStr">
        <is>
          <t>12 / 2025</t>
        </is>
      </c>
      <c r="I196" s="41" t="n"/>
      <c r="J196" s="48" t="inlineStr">
        <is>
          <t>1</t>
        </is>
      </c>
      <c r="K196" s="46" t="n"/>
      <c r="L196" s="41" t="n"/>
      <c r="M196" s="41" t="n"/>
      <c r="N196" s="41" t="n"/>
      <c r="O196" s="41" t="n"/>
      <c r="Q196">
        <f>LEFT(I196,9)</f>
        <v/>
      </c>
      <c r="R196">
        <f>TRIM(B196)</f>
        <v/>
      </c>
      <c r="S196">
        <f>COUNTIF($X$1:$X$9,R196) &gt; 0</f>
        <v/>
      </c>
      <c r="T196">
        <f>IF(AND(S196=FALSE,LEN(R196)&gt;2),4,IF(S196=TRUE,INDEX($Y$1:$Y$9,MATCH(R196,$X$1:$X$9,0)),""))</f>
        <v/>
      </c>
      <c r="U196">
        <f>IF(R196&lt;&gt;"",IF(Q201="",0,MATCH(TRUE,INDEX(Q201:$Q$1100="",0),0)-1),"")</f>
        <v/>
      </c>
      <c r="V196">
        <f>IF(AND(T196&lt;&gt;"",U196&lt;&gt;""),IF(U196-T196&lt;=0,"Falls Short",U196-T196),"")</f>
        <v/>
      </c>
      <c r="W196">
        <f>IF(AND(R196&lt;&gt;"",V196&lt;&gt;"Falls Short"),20*V196,"")</f>
        <v/>
      </c>
    </row>
    <row r="197" ht="15" customHeight="1" s="21">
      <c r="A197" s="43" t="inlineStr">
        <is>
          <t xml:space="preserve"> </t>
        </is>
      </c>
      <c r="B197" s="41" t="n"/>
      <c r="C197" s="41" t="n"/>
      <c r="D197" s="41" t="n"/>
      <c r="E197" s="41" t="n"/>
      <c r="F197" s="41" t="n"/>
      <c r="G197" s="41" t="n"/>
      <c r="H197" s="41" t="n"/>
      <c r="I197" s="41" t="n"/>
      <c r="J197" s="41" t="n"/>
      <c r="K197" s="41" t="n"/>
      <c r="L197" s="41" t="n"/>
      <c r="M197" s="41" t="n"/>
      <c r="N197" s="41" t="n"/>
      <c r="O197" s="41" t="n"/>
      <c r="Q197">
        <f>LEFT(I197,9)</f>
        <v/>
      </c>
      <c r="R197">
        <f>TRIM(B197)</f>
        <v/>
      </c>
      <c r="S197">
        <f>COUNTIF($X$1:$X$9,R197) &gt; 0</f>
        <v/>
      </c>
      <c r="T197">
        <f>IF(AND(S197=FALSE,LEN(R197)&gt;2),4,IF(S197=TRUE,INDEX($Y$1:$Y$9,MATCH(R197,$X$1:$X$9,0)),""))</f>
        <v/>
      </c>
      <c r="U197">
        <f>IF(R197&lt;&gt;"",IF(Q202="",0,MATCH(TRUE,INDEX(Q202:$Q$1100="",0),0)-1),"")</f>
        <v/>
      </c>
      <c r="V197">
        <f>IF(AND(T197&lt;&gt;"",U197&lt;&gt;""),IF(U197-T197&lt;=0,"Falls Short",U197-T197),"")</f>
        <v/>
      </c>
      <c r="W197">
        <f>IF(AND(R197&lt;&gt;"",V197&lt;&gt;"Falls Short"),20*V197,"")</f>
        <v/>
      </c>
    </row>
    <row r="198" ht="15" customHeight="1" s="21">
      <c r="A198" s="48" t="inlineStr">
        <is>
          <t xml:space="preserve"> </t>
        </is>
      </c>
      <c r="B198" s="41" t="n"/>
      <c r="C198" s="41" t="n"/>
      <c r="D198" s="46" t="n"/>
      <c r="E198" s="41" t="n"/>
      <c r="F198" s="41" t="n"/>
      <c r="G198" s="41" t="n"/>
      <c r="H198" s="41" t="n"/>
      <c r="I198" s="48" t="inlineStr">
        <is>
          <t>23-DEC-25</t>
        </is>
      </c>
      <c r="J198" s="41" t="n"/>
      <c r="K198" s="48" t="inlineStr">
        <is>
          <t>Training H</t>
        </is>
      </c>
      <c r="L198" s="41" t="n"/>
      <c r="M198" s="48" t="inlineStr">
        <is>
          <t xml:space="preserve">CDI </t>
        </is>
      </c>
      <c r="N198" s="41" t="n"/>
      <c r="O198" s="41" t="n"/>
      <c r="Q198">
        <f>LEFT(I198,9)</f>
        <v/>
      </c>
      <c r="R198">
        <f>TRIM(B198)</f>
        <v/>
      </c>
      <c r="S198">
        <f>COUNTIF($X$1:$X$9,R198) &gt; 0</f>
        <v/>
      </c>
      <c r="T198">
        <f>IF(AND(S198=FALSE,LEN(R198)&gt;2),4,IF(S198=TRUE,INDEX($Y$1:$Y$9,MATCH(R198,$X$1:$X$9,0)),""))</f>
        <v/>
      </c>
      <c r="U198">
        <f>IF(R198&lt;&gt;"",IF(Q203="",0,MATCH(TRUE,INDEX(Q203:$Q$1100="",0),0)-1),"")</f>
        <v/>
      </c>
      <c r="V198">
        <f>IF(AND(T198&lt;&gt;"",U198&lt;&gt;""),IF(U198-T198&lt;=0,"Falls Short",U198-T198),"")</f>
        <v/>
      </c>
      <c r="W198">
        <f>IF(AND(R198&lt;&gt;"",V198&lt;&gt;"Falls Short"),20*V198,"")</f>
        <v/>
      </c>
    </row>
    <row r="199" ht="15" customHeight="1" s="21">
      <c r="A199" s="49" t="inlineStr">
        <is>
          <t xml:space="preserve"> </t>
        </is>
      </c>
      <c r="B199" s="41" t="n"/>
      <c r="C199" s="41" t="n"/>
      <c r="D199" s="41" t="n"/>
      <c r="E199" s="41" t="n"/>
      <c r="F199" s="41" t="n"/>
      <c r="G199" s="41" t="n"/>
      <c r="H199" s="41" t="n"/>
      <c r="I199" s="41" t="n"/>
      <c r="J199" s="41" t="n"/>
      <c r="K199" s="41" t="n"/>
      <c r="L199" s="41" t="n"/>
      <c r="M199" s="41" t="n"/>
      <c r="N199" s="41" t="n"/>
      <c r="O199" s="41" t="n"/>
      <c r="Q199">
        <f>LEFT(I199,9)</f>
        <v/>
      </c>
      <c r="R199">
        <f>TRIM(B199)</f>
        <v/>
      </c>
      <c r="S199">
        <f>COUNTIF($X$1:$X$9,R199) &gt; 0</f>
        <v/>
      </c>
      <c r="T199">
        <f>IF(AND(S199=FALSE,LEN(R199)&gt;2),4,IF(S199=TRUE,INDEX($Y$1:$Y$9,MATCH(R199,$X$1:$X$9,0)),""))</f>
        <v/>
      </c>
      <c r="U199">
        <f>IF(R199&lt;&gt;"",IF(Q204="",0,MATCH(TRUE,INDEX(Q204:$Q$1100="",0),0)-1),"")</f>
        <v/>
      </c>
      <c r="V199">
        <f>IF(AND(T199&lt;&gt;"",U199&lt;&gt;""),IF(U199-T199&lt;=0,"Falls Short",U199-T199),"")</f>
        <v/>
      </c>
      <c r="W199">
        <f>IF(AND(R199&lt;&gt;"",V199&lt;&gt;"Falls Short"),20*V199,"")</f>
        <v/>
      </c>
    </row>
    <row r="200" ht="15" customHeight="1" s="21">
      <c r="A200" s="49" t="inlineStr">
        <is>
          <t xml:space="preserve"> </t>
        </is>
      </c>
      <c r="B200" s="41" t="n"/>
      <c r="C200" s="41" t="n"/>
      <c r="D200" s="41" t="n"/>
      <c r="E200" s="41" t="n"/>
      <c r="F200" s="41" t="n"/>
      <c r="G200" s="41" t="n"/>
      <c r="H200" s="41" t="n"/>
      <c r="I200" s="41" t="n"/>
      <c r="J200" s="41" t="n"/>
      <c r="K200" s="41" t="n"/>
      <c r="L200" s="41" t="n"/>
      <c r="M200" s="41" t="n"/>
      <c r="N200" s="41" t="n"/>
      <c r="O200" s="41" t="n"/>
      <c r="Q200">
        <f>LEFT(I200,9)</f>
        <v/>
      </c>
      <c r="R200">
        <f>TRIM(B200)</f>
        <v/>
      </c>
      <c r="S200">
        <f>COUNTIF($X$1:$X$9,R200) &gt; 0</f>
        <v/>
      </c>
      <c r="T200">
        <f>IF(AND(S200=FALSE,LEN(R200)&gt;2),4,IF(S200=TRUE,INDEX($Y$1:$Y$9,MATCH(R200,$X$1:$X$9,0)),""))</f>
        <v/>
      </c>
      <c r="U200">
        <f>IF(R200&lt;&gt;"",IF(Q205="",0,MATCH(TRUE,INDEX(Q205:$Q$1100="",0),0)-1),"")</f>
        <v/>
      </c>
      <c r="V200">
        <f>IF(AND(T200&lt;&gt;"",U200&lt;&gt;""),IF(U200-T200&lt;=0,"Falls Short",U200-T200),"")</f>
        <v/>
      </c>
      <c r="W200">
        <f>IF(AND(R200&lt;&gt;"",V200&lt;&gt;"Falls Short"),20*V200,"")</f>
        <v/>
      </c>
    </row>
    <row r="201" ht="15" customHeight="1" s="21">
      <c r="A201" s="43" t="inlineStr">
        <is>
          <t xml:space="preserve"> </t>
        </is>
      </c>
      <c r="B201" s="41" t="n"/>
      <c r="C201" s="41" t="n"/>
      <c r="D201" s="41" t="n"/>
      <c r="E201" s="41" t="n"/>
      <c r="F201" s="41" t="n"/>
      <c r="G201" s="41" t="n"/>
      <c r="H201" s="41" t="n"/>
      <c r="I201" s="41" t="n"/>
      <c r="J201" s="41" t="n"/>
      <c r="K201" s="41" t="n"/>
      <c r="L201" s="41" t="n"/>
      <c r="M201" s="41" t="n"/>
      <c r="N201" s="41" t="n"/>
      <c r="O201" s="41" t="n"/>
      <c r="Q201">
        <f>LEFT(I201,9)</f>
        <v/>
      </c>
      <c r="R201">
        <f>TRIM(B201)</f>
        <v/>
      </c>
      <c r="S201">
        <f>COUNTIF($X$1:$X$9,R201) &gt; 0</f>
        <v/>
      </c>
      <c r="T201">
        <f>IF(AND(S201=FALSE,LEN(R201)&gt;2),4,IF(S201=TRUE,INDEX($Y$1:$Y$9,MATCH(R201,$X$1:$X$9,0)),""))</f>
        <v/>
      </c>
      <c r="U201">
        <f>IF(R201&lt;&gt;"",IF(Q206="",0,MATCH(TRUE,INDEX(Q206:$Q$1100="",0),0)-1),"")</f>
        <v/>
      </c>
      <c r="V201">
        <f>IF(AND(T201&lt;&gt;"",U201&lt;&gt;""),IF(U201-T201&lt;=0,"Falls Short",U201-T201),"")</f>
        <v/>
      </c>
      <c r="W201">
        <f>IF(AND(R201&lt;&gt;"",V201&lt;&gt;"Falls Short"),20*V201,"")</f>
        <v/>
      </c>
    </row>
    <row r="202" ht="15" customHeight="1" s="21">
      <c r="A202" s="44" t="n"/>
      <c r="B202" s="44" t="n"/>
      <c r="C202" s="44" t="n"/>
      <c r="D202" s="41" t="n"/>
      <c r="E202" s="41" t="n"/>
      <c r="F202" s="41" t="n"/>
      <c r="G202" s="44" t="n"/>
      <c r="H202" s="45" t="inlineStr">
        <is>
          <t>Month</t>
        </is>
      </c>
      <c r="I202" s="41" t="n"/>
      <c r="J202" s="45" t="inlineStr">
        <is>
          <t>Days</t>
        </is>
      </c>
      <c r="K202" s="41" t="n"/>
      <c r="L202" s="41" t="n"/>
      <c r="M202" s="45" t="inlineStr">
        <is>
          <t>Total</t>
        </is>
      </c>
      <c r="N202" s="41" t="n"/>
      <c r="O202" s="41" t="n"/>
      <c r="Q202">
        <f>LEFT(I202,9)</f>
        <v/>
      </c>
      <c r="R202">
        <f>TRIM(B202)</f>
        <v/>
      </c>
      <c r="S202">
        <f>COUNTIF($X$1:$X$9,R202) &gt; 0</f>
        <v/>
      </c>
      <c r="T202">
        <f>IF(AND(S202=FALSE,LEN(R202)&gt;2),4,IF(S202=TRUE,INDEX($Y$1:$Y$9,MATCH(R202,$X$1:$X$9,0)),""))</f>
        <v/>
      </c>
      <c r="U202">
        <f>IF(R202&lt;&gt;"",IF(Q207="",0,MATCH(TRUE,INDEX(Q207:$Q$1100="",0),0)-1),"")</f>
        <v/>
      </c>
      <c r="V202">
        <f>IF(AND(T202&lt;&gt;"",U202&lt;&gt;""),IF(U202-T202&lt;=0,"Falls Short",U202-T202),"")</f>
        <v/>
      </c>
      <c r="W202">
        <f>IF(AND(R202&lt;&gt;"",V202&lt;&gt;"Falls Short"),20*V202,"")</f>
        <v/>
      </c>
    </row>
    <row r="203" ht="15" customHeight="1" s="21">
      <c r="A203" s="46" t="inlineStr">
        <is>
          <t>Job Role X</t>
        </is>
      </c>
      <c r="B203" s="42" t="inlineStr">
        <is>
          <t>BAE</t>
        </is>
      </c>
      <c r="C203" s="42" t="inlineStr">
        <is>
          <t xml:space="preserve">   PICTOR WEST</t>
        </is>
      </c>
      <c r="D203" s="41" t="n"/>
      <c r="E203" s="41" t="n"/>
      <c r="F203" s="41" t="n"/>
      <c r="G203" s="42" t="inlineStr">
        <is>
          <t xml:space="preserve">10011       </t>
        </is>
      </c>
      <c r="H203" s="47" t="n"/>
      <c r="I203" s="41" t="n"/>
      <c r="J203" s="47" t="n"/>
      <c r="K203" s="41" t="n"/>
      <c r="L203" s="41" t="n"/>
      <c r="M203" s="47" t="n"/>
      <c r="N203" s="41" t="n"/>
      <c r="O203" s="41" t="n"/>
      <c r="Q203">
        <f>LEFT(I203,9)</f>
        <v/>
      </c>
      <c r="R203">
        <f>TRIM(B203)</f>
        <v/>
      </c>
      <c r="S203">
        <f>COUNTIF($X$1:$X$9,R203) &gt; 0</f>
        <v/>
      </c>
      <c r="T203">
        <f>IF(AND(S203=FALSE,LEN(R203)&gt;2),4,IF(S203=TRUE,INDEX($Y$1:$Y$9,MATCH(R203,$X$1:$X$9,0)),""))</f>
        <v/>
      </c>
      <c r="U203">
        <f>IF(R203&lt;&gt;"",IF(Q208="",0,MATCH(TRUE,INDEX(Q208:$Q$1100="",0),0)-1),"")</f>
        <v/>
      </c>
      <c r="V203">
        <f>IF(AND(T203&lt;&gt;"",U203&lt;&gt;""),IF(U203-T203&lt;=0,"Falls Short",U203-T203),"")</f>
        <v/>
      </c>
      <c r="W203">
        <f>IF(AND(R203&lt;&gt;"",V203&lt;&gt;"Falls Short"),20*V203,"")</f>
        <v/>
      </c>
    </row>
    <row r="204" ht="15" customHeight="1" s="21">
      <c r="A204" s="42" t="n"/>
      <c r="B204" s="46" t="n"/>
      <c r="C204" s="46" t="n"/>
      <c r="D204" s="41" t="n"/>
      <c r="E204" s="41" t="n"/>
      <c r="F204" s="41" t="n"/>
      <c r="G204" s="46" t="n"/>
      <c r="H204" s="46" t="n"/>
      <c r="I204" s="41" t="n"/>
      <c r="J204" s="46" t="n"/>
      <c r="K204" s="41" t="n"/>
      <c r="L204" s="41" t="n"/>
      <c r="M204" s="48" t="inlineStr">
        <is>
          <t>2</t>
        </is>
      </c>
      <c r="N204" s="41" t="n"/>
      <c r="O204" s="41" t="n"/>
      <c r="Q204">
        <f>LEFT(I204,9)</f>
        <v/>
      </c>
      <c r="R204">
        <f>TRIM(B204)</f>
        <v/>
      </c>
      <c r="S204">
        <f>COUNTIF($X$1:$X$9,R204) &gt; 0</f>
        <v/>
      </c>
      <c r="T204">
        <f>IF(AND(S204=FALSE,LEN(R204)&gt;2),4,IF(S204=TRUE,INDEX($Y$1:$Y$9,MATCH(R204,$X$1:$X$9,0)),""))</f>
        <v/>
      </c>
      <c r="U204">
        <f>IF(R204&lt;&gt;"",IF(Q209="",0,MATCH(TRUE,INDEX(Q209:$Q$1100="",0),0)-1),"")</f>
        <v/>
      </c>
      <c r="V204">
        <f>IF(AND(T204&lt;&gt;"",U204&lt;&gt;""),IF(U204-T204&lt;=0,"Falls Short",U204-T204),"")</f>
        <v/>
      </c>
      <c r="W204">
        <f>IF(AND(R204&lt;&gt;"",V204&lt;&gt;"Falls Short"),20*V204,"")</f>
        <v/>
      </c>
    </row>
    <row r="205" ht="15" customHeight="1" s="21">
      <c r="A205" s="43" t="inlineStr">
        <is>
          <t xml:space="preserve"> </t>
        </is>
      </c>
      <c r="B205" s="41" t="n"/>
      <c r="C205" s="41" t="n"/>
      <c r="D205" s="41" t="n"/>
      <c r="E205" s="41" t="n"/>
      <c r="F205" s="41" t="n"/>
      <c r="G205" s="41" t="n"/>
      <c r="H205" s="41" t="n"/>
      <c r="I205" s="41" t="n"/>
      <c r="J205" s="41" t="n"/>
      <c r="K205" s="41" t="n"/>
      <c r="L205" s="41" t="n"/>
      <c r="M205" s="41" t="n"/>
      <c r="N205" s="41" t="n"/>
      <c r="O205" s="41" t="n"/>
      <c r="Q205">
        <f>LEFT(I205,9)</f>
        <v/>
      </c>
      <c r="R205">
        <f>TRIM(B205)</f>
        <v/>
      </c>
      <c r="S205">
        <f>COUNTIF($X$1:$X$9,R205) &gt; 0</f>
        <v/>
      </c>
      <c r="T205">
        <f>IF(AND(S205=FALSE,LEN(R205)&gt;2),4,IF(S205=TRUE,INDEX($Y$1:$Y$9,MATCH(R205,$X$1:$X$9,0)),""))</f>
        <v/>
      </c>
      <c r="U205">
        <f>IF(R205&lt;&gt;"",IF(Q210="",0,MATCH(TRUE,INDEX(Q210:$Q$1100="",0),0)-1),"")</f>
        <v/>
      </c>
      <c r="V205">
        <f>IF(AND(T205&lt;&gt;"",U205&lt;&gt;""),IF(U205-T205&lt;=0,"Falls Short",U205-T205),"")</f>
        <v/>
      </c>
      <c r="W205">
        <f>IF(AND(R205&lt;&gt;"",V205&lt;&gt;"Falls Short"),20*V205,"")</f>
        <v/>
      </c>
    </row>
    <row r="206" ht="15" customHeight="1" s="21">
      <c r="A206" s="46" t="n"/>
      <c r="B206" s="41" t="n"/>
      <c r="C206" s="41" t="n"/>
      <c r="D206" s="41" t="n"/>
      <c r="E206" s="46" t="n"/>
      <c r="F206" s="41" t="n"/>
      <c r="G206" s="41" t="n"/>
      <c r="H206" s="48" t="inlineStr">
        <is>
          <t>12 / 2025</t>
        </is>
      </c>
      <c r="I206" s="41" t="n"/>
      <c r="J206" s="48" t="inlineStr">
        <is>
          <t>2</t>
        </is>
      </c>
      <c r="K206" s="46" t="n"/>
      <c r="L206" s="41" t="n"/>
      <c r="M206" s="41" t="n"/>
      <c r="N206" s="41" t="n"/>
      <c r="O206" s="41" t="n"/>
      <c r="Q206">
        <f>LEFT(I206,9)</f>
        <v/>
      </c>
      <c r="R206">
        <f>TRIM(B206)</f>
        <v/>
      </c>
      <c r="S206">
        <f>COUNTIF($X$1:$X$9,R206) &gt; 0</f>
        <v/>
      </c>
      <c r="T206">
        <f>IF(AND(S206=FALSE,LEN(R206)&gt;2),4,IF(S206=TRUE,INDEX($Y$1:$Y$9,MATCH(R206,$X$1:$X$9,0)),""))</f>
        <v/>
      </c>
      <c r="U206">
        <f>IF(R206&lt;&gt;"",IF(Q211="",0,MATCH(TRUE,INDEX(Q211:$Q$1100="",0),0)-1),"")</f>
        <v/>
      </c>
      <c r="V206">
        <f>IF(AND(T206&lt;&gt;"",U206&lt;&gt;""),IF(U206-T206&lt;=0,"Falls Short",U206-T206),"")</f>
        <v/>
      </c>
      <c r="W206">
        <f>IF(AND(R206&lt;&gt;"",V206&lt;&gt;"Falls Short"),20*V206,"")</f>
        <v/>
      </c>
    </row>
    <row r="207" ht="21.8" customHeight="1" s="21">
      <c r="A207" s="43" t="inlineStr">
        <is>
          <t xml:space="preserve"> </t>
        </is>
      </c>
      <c r="B207" s="41" t="n"/>
      <c r="C207" s="41" t="n"/>
      <c r="D207" s="41" t="n"/>
      <c r="E207" s="41" t="n"/>
      <c r="F207" s="41" t="n"/>
      <c r="G207" s="41" t="n"/>
      <c r="H207" s="41" t="n"/>
      <c r="I207" s="41" t="n"/>
      <c r="J207" s="41" t="n"/>
      <c r="K207" s="41" t="n"/>
      <c r="L207" s="41" t="n"/>
      <c r="M207" s="41" t="n"/>
      <c r="N207" s="41" t="n"/>
      <c r="O207" s="41" t="n"/>
      <c r="Q207">
        <f>LEFT(I207,9)</f>
        <v/>
      </c>
      <c r="R207">
        <f>TRIM(B207)</f>
        <v/>
      </c>
      <c r="S207">
        <f>COUNTIF($X$1:$X$9,R207) &gt; 0</f>
        <v/>
      </c>
      <c r="T207">
        <f>IF(AND(S207=FALSE,LEN(R207)&gt;2),4,IF(S207=TRUE,INDEX($Y$1:$Y$9,MATCH(R207,$X$1:$X$9,0)),""))</f>
        <v/>
      </c>
      <c r="U207">
        <f>IF(R207&lt;&gt;"",IF(Q212="",0,MATCH(TRUE,INDEX(Q212:$Q$1100="",0),0)-1),"")</f>
        <v/>
      </c>
      <c r="V207">
        <f>IF(AND(T207&lt;&gt;"",U207&lt;&gt;""),IF(U207-T207&lt;=0,"Falls Short",U207-T207),"")</f>
        <v/>
      </c>
      <c r="W207">
        <f>IF(AND(R207&lt;&gt;"",V207&lt;&gt;"Falls Short"),20*V207,"")</f>
        <v/>
      </c>
    </row>
    <row r="208" ht="15" customHeight="1" s="21">
      <c r="A208" s="48" t="inlineStr">
        <is>
          <t xml:space="preserve"> </t>
        </is>
      </c>
      <c r="B208" s="41" t="n"/>
      <c r="C208" s="41" t="n"/>
      <c r="D208" s="46" t="n"/>
      <c r="E208" s="41" t="n"/>
      <c r="F208" s="41" t="n"/>
      <c r="G208" s="41" t="n"/>
      <c r="H208" s="41" t="n"/>
      <c r="I208" s="48" t="inlineStr">
        <is>
          <t>17-DEC-25</t>
        </is>
      </c>
      <c r="J208" s="41" t="n"/>
      <c r="K208" s="48" t="inlineStr">
        <is>
          <t>Training H</t>
        </is>
      </c>
      <c r="L208" s="41" t="n"/>
      <c r="M208" s="48" t="inlineStr">
        <is>
          <t xml:space="preserve">C90 </t>
        </is>
      </c>
      <c r="N208" s="41" t="n"/>
      <c r="O208" s="41" t="n"/>
      <c r="Q208">
        <f>LEFT(I208,9)</f>
        <v/>
      </c>
      <c r="R208">
        <f>TRIM(B208)</f>
        <v/>
      </c>
      <c r="S208">
        <f>COUNTIF($X$1:$X$9,R208) &gt; 0</f>
        <v/>
      </c>
      <c r="T208">
        <f>IF(AND(S208=FALSE,LEN(R208)&gt;2),4,IF(S208=TRUE,INDEX($Y$1:$Y$9,MATCH(R208,$X$1:$X$9,0)),""))</f>
        <v/>
      </c>
      <c r="U208">
        <f>IF(R208&lt;&gt;"",IF(Q213="",0,MATCH(TRUE,INDEX(Q213:$Q$1100="",0),0)-1),"")</f>
        <v/>
      </c>
      <c r="V208">
        <f>IF(AND(T208&lt;&gt;"",U208&lt;&gt;""),IF(U208-T208&lt;=0,"Falls Short",U208-T208),"")</f>
        <v/>
      </c>
      <c r="W208">
        <f>IF(AND(R208&lt;&gt;"",V208&lt;&gt;"Falls Short"),20*V208,"")</f>
        <v/>
      </c>
    </row>
    <row r="209" ht="15" customHeight="1" s="21">
      <c r="A209" s="48" t="inlineStr">
        <is>
          <t xml:space="preserve"> </t>
        </is>
      </c>
      <c r="B209" s="41" t="n"/>
      <c r="C209" s="41" t="n"/>
      <c r="D209" s="46" t="n"/>
      <c r="E209" s="41" t="n"/>
      <c r="F209" s="41" t="n"/>
      <c r="G209" s="41" t="n"/>
      <c r="H209" s="41" t="n"/>
      <c r="I209" s="48" t="inlineStr">
        <is>
          <t>30-DEC-25</t>
        </is>
      </c>
      <c r="J209" s="41" t="n"/>
      <c r="K209" s="48" t="inlineStr">
        <is>
          <t>Training H</t>
        </is>
      </c>
      <c r="L209" s="41" t="n"/>
      <c r="M209" s="48" t="inlineStr">
        <is>
          <t xml:space="preserve">C90 </t>
        </is>
      </c>
      <c r="N209" s="41" t="n"/>
      <c r="O209" s="41" t="n"/>
      <c r="Q209">
        <f>LEFT(I209,9)</f>
        <v/>
      </c>
      <c r="R209">
        <f>TRIM(B209)</f>
        <v/>
      </c>
      <c r="S209">
        <f>COUNTIF($X$1:$X$9,R209) &gt; 0</f>
        <v/>
      </c>
      <c r="T209">
        <f>IF(AND(S209=FALSE,LEN(R209)&gt;2),4,IF(S209=TRUE,INDEX($Y$1:$Y$9,MATCH(R209,$X$1:$X$9,0)),""))</f>
        <v/>
      </c>
      <c r="U209">
        <f>IF(R209&lt;&gt;"",IF(Q214="",0,MATCH(TRUE,INDEX(Q214:$Q$1100="",0),0)-1),"")</f>
        <v/>
      </c>
      <c r="V209">
        <f>IF(AND(T209&lt;&gt;"",U209&lt;&gt;""),IF(U209-T209&lt;=0,"Falls Short",U209-T209),"")</f>
        <v/>
      </c>
      <c r="W209">
        <f>IF(AND(R209&lt;&gt;"",V209&lt;&gt;"Falls Short"),20*V209,"")</f>
        <v/>
      </c>
    </row>
    <row r="210" ht="15" customHeight="1" s="21">
      <c r="A210" s="49" t="inlineStr">
        <is>
          <t xml:space="preserve"> </t>
        </is>
      </c>
      <c r="B210" s="41" t="n"/>
      <c r="C210" s="41" t="n"/>
      <c r="D210" s="41" t="n"/>
      <c r="E210" s="41" t="n"/>
      <c r="F210" s="41" t="n"/>
      <c r="G210" s="41" t="n"/>
      <c r="H210" s="41" t="n"/>
      <c r="I210" s="41" t="n"/>
      <c r="J210" s="41" t="n"/>
      <c r="K210" s="41" t="n"/>
      <c r="L210" s="41" t="n"/>
      <c r="M210" s="41" t="n"/>
      <c r="N210" s="41" t="n"/>
      <c r="O210" s="41" t="n"/>
      <c r="Q210">
        <f>LEFT(I210,9)</f>
        <v/>
      </c>
      <c r="R210">
        <f>TRIM(B210)</f>
        <v/>
      </c>
      <c r="S210">
        <f>COUNTIF($X$1:$X$9,R210) &gt; 0</f>
        <v/>
      </c>
      <c r="T210">
        <f>IF(AND(S210=FALSE,LEN(R210)&gt;2),4,IF(S210=TRUE,INDEX($Y$1:$Y$9,MATCH(R210,$X$1:$X$9,0)),""))</f>
        <v/>
      </c>
      <c r="U210">
        <f>IF(R210&lt;&gt;"",IF(Q215="",0,MATCH(TRUE,INDEX(Q215:$Q$1100="",0),0)-1),"")</f>
        <v/>
      </c>
      <c r="V210">
        <f>IF(AND(T210&lt;&gt;"",U210&lt;&gt;""),IF(U210-T210&lt;=0,"Falls Short",U210-T210),"")</f>
        <v/>
      </c>
      <c r="W210">
        <f>IF(AND(R210&lt;&gt;"",V210&lt;&gt;"Falls Short"),20*V210,"")</f>
        <v/>
      </c>
    </row>
    <row r="211" ht="15" customHeight="1" s="21">
      <c r="A211" s="49" t="inlineStr">
        <is>
          <t xml:space="preserve"> </t>
        </is>
      </c>
      <c r="B211" s="41" t="n"/>
      <c r="C211" s="41" t="n"/>
      <c r="D211" s="41" t="n"/>
      <c r="E211" s="41" t="n"/>
      <c r="F211" s="41" t="n"/>
      <c r="G211" s="41" t="n"/>
      <c r="H211" s="41" t="n"/>
      <c r="I211" s="41" t="n"/>
      <c r="J211" s="41" t="n"/>
      <c r="K211" s="41" t="n"/>
      <c r="L211" s="41" t="n"/>
      <c r="M211" s="41" t="n"/>
      <c r="N211" s="41" t="n"/>
      <c r="O211" s="41" t="n"/>
      <c r="Q211">
        <f>LEFT(I211,9)</f>
        <v/>
      </c>
      <c r="R211">
        <f>TRIM(B211)</f>
        <v/>
      </c>
      <c r="S211">
        <f>COUNTIF($X$1:$X$9,R211) &gt; 0</f>
        <v/>
      </c>
      <c r="T211">
        <f>IF(AND(S211=FALSE,LEN(R211)&gt;2),4,IF(S211=TRUE,INDEX($Y$1:$Y$9,MATCH(R211,$X$1:$X$9,0)),""))</f>
        <v/>
      </c>
      <c r="U211">
        <f>IF(R211&lt;&gt;"",IF(Q216="",0,MATCH(TRUE,INDEX(Q216:$Q$1100="",0),0)-1),"")</f>
        <v/>
      </c>
      <c r="V211">
        <f>IF(AND(T211&lt;&gt;"",U211&lt;&gt;""),IF(U211-T211&lt;=0,"Falls Short",U211-T211),"")</f>
        <v/>
      </c>
      <c r="W211">
        <f>IF(AND(R211&lt;&gt;"",V211&lt;&gt;"Falls Short"),20*V211,"")</f>
        <v/>
      </c>
    </row>
    <row r="212" ht="15" customHeight="1" s="21">
      <c r="A212" s="43" t="inlineStr">
        <is>
          <t xml:space="preserve"> </t>
        </is>
      </c>
      <c r="B212" s="41" t="n"/>
      <c r="C212" s="41" t="n"/>
      <c r="D212" s="41" t="n"/>
      <c r="E212" s="41" t="n"/>
      <c r="F212" s="41" t="n"/>
      <c r="G212" s="41" t="n"/>
      <c r="H212" s="41" t="n"/>
      <c r="I212" s="41" t="n"/>
      <c r="J212" s="41" t="n"/>
      <c r="K212" s="41" t="n"/>
      <c r="L212" s="41" t="n"/>
      <c r="M212" s="41" t="n"/>
      <c r="N212" s="41" t="n"/>
      <c r="O212" s="41" t="n"/>
      <c r="Q212">
        <f>LEFT(I212,9)</f>
        <v/>
      </c>
      <c r="R212">
        <f>TRIM(B212)</f>
        <v/>
      </c>
      <c r="S212">
        <f>COUNTIF($X$1:$X$9,R212) &gt; 0</f>
        <v/>
      </c>
      <c r="T212">
        <f>IF(AND(S212=FALSE,LEN(R212)&gt;2),4,IF(S212=TRUE,INDEX($Y$1:$Y$9,MATCH(R212,$X$1:$X$9,0)),""))</f>
        <v/>
      </c>
      <c r="U212">
        <f>IF(R212&lt;&gt;"",IF(Q217="",0,MATCH(TRUE,INDEX(Q217:$Q$1100="",0),0)-1),"")</f>
        <v/>
      </c>
      <c r="V212">
        <f>IF(AND(T212&lt;&gt;"",U212&lt;&gt;""),IF(U212-T212&lt;=0,"Falls Short",U212-T212),"")</f>
        <v/>
      </c>
      <c r="W212">
        <f>IF(AND(R212&lt;&gt;"",V212&lt;&gt;"Falls Short"),20*V212,"")</f>
        <v/>
      </c>
    </row>
    <row r="213" ht="15" customHeight="1" s="21">
      <c r="A213" s="49" t="inlineStr">
        <is>
          <t xml:space="preserve"> </t>
        </is>
      </c>
      <c r="B213" s="41" t="n"/>
      <c r="C213" s="41" t="n"/>
      <c r="D213" s="41" t="n"/>
      <c r="E213" s="41" t="n"/>
      <c r="F213" s="41" t="n"/>
      <c r="G213" s="41" t="n"/>
      <c r="H213" s="41" t="n"/>
      <c r="I213" s="41" t="n"/>
      <c r="J213" s="41" t="n"/>
      <c r="K213" s="41" t="n"/>
      <c r="L213" s="41" t="n"/>
      <c r="M213" s="41" t="n"/>
      <c r="N213" s="41" t="n"/>
      <c r="O213" s="41" t="n"/>
      <c r="Q213">
        <f>LEFT(I213,9)</f>
        <v/>
      </c>
      <c r="R213">
        <f>TRIM(B213)</f>
        <v/>
      </c>
      <c r="S213">
        <f>COUNTIF($X$1:$X$9,R213) &gt; 0</f>
        <v/>
      </c>
      <c r="T213">
        <f>IF(AND(S213=FALSE,LEN(R213)&gt;2),4,IF(S213=TRUE,INDEX($Y$1:$Y$9,MATCH(R213,$X$1:$X$9,0)),""))</f>
        <v/>
      </c>
      <c r="U213">
        <f>IF(R213&lt;&gt;"",IF(Q218="",0,MATCH(TRUE,INDEX(Q218:$Q$1100="",0),0)-1),"")</f>
        <v/>
      </c>
      <c r="V213">
        <f>IF(AND(T213&lt;&gt;"",U213&lt;&gt;""),IF(U213-T213&lt;=0,"Falls Short",U213-T213),"")</f>
        <v/>
      </c>
      <c r="W213">
        <f>IF(AND(R213&lt;&gt;"",V213&lt;&gt;"Falls Short"),20*V213,"")</f>
        <v/>
      </c>
    </row>
    <row r="214" ht="15" customHeight="1" s="21">
      <c r="A214" s="49" t="inlineStr">
        <is>
          <t xml:space="preserve"> </t>
        </is>
      </c>
      <c r="B214" s="41" t="n"/>
      <c r="C214" s="41" t="n"/>
      <c r="D214" s="41" t="n"/>
      <c r="E214" s="41" t="n"/>
      <c r="F214" s="41" t="n"/>
      <c r="G214" s="41" t="n"/>
      <c r="H214" s="41" t="n"/>
      <c r="I214" s="41" t="n"/>
      <c r="J214" s="41" t="n"/>
      <c r="K214" s="41" t="n"/>
      <c r="L214" s="41" t="n"/>
      <c r="M214" s="41" t="n"/>
      <c r="N214" s="41" t="n"/>
      <c r="O214" s="41" t="n"/>
      <c r="Q214">
        <f>LEFT(I214,9)</f>
        <v/>
      </c>
      <c r="R214">
        <f>TRIM(B214)</f>
        <v/>
      </c>
      <c r="S214">
        <f>COUNTIF($X$1:$X$9,R214) &gt; 0</f>
        <v/>
      </c>
      <c r="T214">
        <f>IF(AND(S214=FALSE,LEN(R214)&gt;2),4,IF(S214=TRUE,INDEX($Y$1:$Y$9,MATCH(R214,$X$1:$X$9,0)),""))</f>
        <v/>
      </c>
      <c r="U214">
        <f>IF(R214&lt;&gt;"",IF(Q219="",0,MATCH(TRUE,INDEX(Q219:$Q$1100="",0),0)-1),"")</f>
        <v/>
      </c>
      <c r="V214">
        <f>IF(AND(T214&lt;&gt;"",U214&lt;&gt;""),IF(U214-T214&lt;=0,"Falls Short",U214-T214),"")</f>
        <v/>
      </c>
      <c r="W214">
        <f>IF(AND(R214&lt;&gt;"",V214&lt;&gt;"Falls Short"),20*V214,"")</f>
        <v/>
      </c>
    </row>
    <row r="215" ht="15" customHeight="1" s="21">
      <c r="A215" s="43" t="inlineStr">
        <is>
          <t xml:space="preserve"> </t>
        </is>
      </c>
      <c r="B215" s="41" t="n"/>
      <c r="C215" s="41" t="n"/>
      <c r="D215" s="41" t="n"/>
      <c r="E215" s="41" t="n"/>
      <c r="F215" s="41" t="n"/>
      <c r="G215" s="41" t="n"/>
      <c r="H215" s="41" t="n"/>
      <c r="I215" s="41" t="n"/>
      <c r="J215" s="41" t="n"/>
      <c r="K215" s="41" t="n"/>
      <c r="L215" s="41" t="n"/>
      <c r="M215" s="41" t="n"/>
      <c r="N215" s="41" t="n"/>
      <c r="O215" s="41" t="n"/>
      <c r="Q215">
        <f>LEFT(I215,9)</f>
        <v/>
      </c>
      <c r="R215">
        <f>TRIM(B215)</f>
        <v/>
      </c>
      <c r="S215">
        <f>COUNTIF($X$1:$X$9,R215) &gt; 0</f>
        <v/>
      </c>
      <c r="T215">
        <f>IF(AND(S215=FALSE,LEN(R215)&gt;2),4,IF(S215=TRUE,INDEX($Y$1:$Y$9,MATCH(R215,$X$1:$X$9,0)),""))</f>
        <v/>
      </c>
      <c r="U215">
        <f>IF(R215&lt;&gt;"",IF(Q220="",0,MATCH(TRUE,INDEX(Q220:$Q$1100="",0),0)-1),"")</f>
        <v/>
      </c>
      <c r="V215">
        <f>IF(AND(T215&lt;&gt;"",U215&lt;&gt;""),IF(U215-T215&lt;=0,"Falls Short",U215-T215),"")</f>
        <v/>
      </c>
      <c r="W215">
        <f>IF(AND(R215&lt;&gt;"",V215&lt;&gt;"Falls Short"),20*V215,"")</f>
        <v/>
      </c>
    </row>
    <row r="216" ht="15" customHeight="1" s="21">
      <c r="A216" s="44" t="n"/>
      <c r="B216" s="44" t="n"/>
      <c r="C216" s="44" t="n"/>
      <c r="D216" s="41" t="n"/>
      <c r="E216" s="41" t="n"/>
      <c r="F216" s="41" t="n"/>
      <c r="G216" s="44" t="n"/>
      <c r="H216" s="45" t="inlineStr">
        <is>
          <t>Month</t>
        </is>
      </c>
      <c r="I216" s="41" t="n"/>
      <c r="J216" s="45" t="inlineStr">
        <is>
          <t>Days</t>
        </is>
      </c>
      <c r="K216" s="41" t="n"/>
      <c r="L216" s="41" t="n"/>
      <c r="M216" s="45" t="inlineStr">
        <is>
          <t>Total</t>
        </is>
      </c>
      <c r="N216" s="41" t="n"/>
      <c r="O216" s="41" t="n"/>
      <c r="Q216">
        <f>LEFT(I216,9)</f>
        <v/>
      </c>
      <c r="R216">
        <f>TRIM(B216)</f>
        <v/>
      </c>
      <c r="S216">
        <f>COUNTIF($X$1:$X$9,R216) &gt; 0</f>
        <v/>
      </c>
      <c r="T216">
        <f>IF(AND(S216=FALSE,LEN(R216)&gt;2),4,IF(S216=TRUE,INDEX($Y$1:$Y$9,MATCH(R216,$X$1:$X$9,0)),""))</f>
        <v/>
      </c>
      <c r="U216">
        <f>IF(R216&lt;&gt;"",IF(Q221="",0,MATCH(TRUE,INDEX(Q221:$Q$1100="",0),0)-1),"")</f>
        <v/>
      </c>
      <c r="V216">
        <f>IF(AND(T216&lt;&gt;"",U216&lt;&gt;""),IF(U216-T216&lt;=0,"Falls Short",U216-T216),"")</f>
        <v/>
      </c>
      <c r="W216">
        <f>IF(AND(R216&lt;&gt;"",V216&lt;&gt;"Falls Short"),20*V216,"")</f>
        <v/>
      </c>
    </row>
    <row r="217" ht="21.8" customHeight="1" s="21">
      <c r="A217" s="46" t="inlineStr">
        <is>
          <t>Job Role X</t>
        </is>
      </c>
      <c r="B217" s="42" t="inlineStr">
        <is>
          <t>BDH</t>
        </is>
      </c>
      <c r="C217" s="42" t="inlineStr">
        <is>
          <t xml:space="preserve">   ALPHA ONE</t>
        </is>
      </c>
      <c r="D217" s="41" t="n"/>
      <c r="E217" s="41" t="n"/>
      <c r="F217" s="41" t="n"/>
      <c r="G217" s="42" t="inlineStr">
        <is>
          <t xml:space="preserve">10022       </t>
        </is>
      </c>
      <c r="H217" s="47" t="n"/>
      <c r="I217" s="41" t="n"/>
      <c r="J217" s="47" t="n"/>
      <c r="K217" s="41" t="n"/>
      <c r="L217" s="41" t="n"/>
      <c r="M217" s="47" t="n"/>
      <c r="N217" s="41" t="n"/>
      <c r="O217" s="41" t="n"/>
      <c r="Q217">
        <f>LEFT(I217,9)</f>
        <v/>
      </c>
      <c r="R217">
        <f>TRIM(B217)</f>
        <v/>
      </c>
      <c r="S217">
        <f>COUNTIF($X$1:$X$9,R217) &gt; 0</f>
        <v/>
      </c>
      <c r="T217">
        <f>IF(AND(S217=FALSE,LEN(R217)&gt;2),4,IF(S217=TRUE,INDEX($Y$1:$Y$9,MATCH(R217,$X$1:$X$9,0)),""))</f>
        <v/>
      </c>
      <c r="U217">
        <f>IF(R217&lt;&gt;"",IF(Q222="",0,MATCH(TRUE,INDEX(Q222:$Q$1100="",0),0)-1),"")</f>
        <v/>
      </c>
      <c r="V217">
        <f>IF(AND(T217&lt;&gt;"",U217&lt;&gt;""),IF(U217-T217&lt;=0,"Falls Short",U217-T217),"")</f>
        <v/>
      </c>
      <c r="W217">
        <f>IF(AND(R217&lt;&gt;"",V217&lt;&gt;"Falls Short"),20*V217,"")</f>
        <v/>
      </c>
    </row>
    <row r="218" ht="15" customHeight="1" s="21">
      <c r="A218" s="42" t="n"/>
      <c r="B218" s="46" t="n"/>
      <c r="C218" s="46" t="n"/>
      <c r="D218" s="41" t="n"/>
      <c r="E218" s="41" t="n"/>
      <c r="F218" s="41" t="n"/>
      <c r="G218" s="46" t="n"/>
      <c r="H218" s="46" t="n"/>
      <c r="I218" s="41" t="n"/>
      <c r="J218" s="46" t="n"/>
      <c r="K218" s="41" t="n"/>
      <c r="L218" s="41" t="n"/>
      <c r="M218" s="48" t="inlineStr">
        <is>
          <t>5</t>
        </is>
      </c>
      <c r="N218" s="41" t="n"/>
      <c r="O218" s="41" t="n"/>
      <c r="Q218">
        <f>LEFT(I218,9)</f>
        <v/>
      </c>
      <c r="R218">
        <f>TRIM(B218)</f>
        <v/>
      </c>
      <c r="S218">
        <f>COUNTIF($X$1:$X$9,R218) &gt; 0</f>
        <v/>
      </c>
      <c r="T218">
        <f>IF(AND(S218=FALSE,LEN(R218)&gt;2),4,IF(S218=TRUE,INDEX($Y$1:$Y$9,MATCH(R218,$X$1:$X$9,0)),""))</f>
        <v/>
      </c>
      <c r="U218">
        <f>IF(R218&lt;&gt;"",IF(Q223="",0,MATCH(TRUE,INDEX(Q223:$Q$1100="",0),0)-1),"")</f>
        <v/>
      </c>
      <c r="V218">
        <f>IF(AND(T218&lt;&gt;"",U218&lt;&gt;""),IF(U218-T218&lt;=0,"Falls Short",U218-T218),"")</f>
        <v/>
      </c>
      <c r="W218">
        <f>IF(AND(R218&lt;&gt;"",V218&lt;&gt;"Falls Short"),20*V218,"")</f>
        <v/>
      </c>
    </row>
    <row r="219" ht="15" customHeight="1" s="21">
      <c r="A219" s="43" t="inlineStr">
        <is>
          <t xml:space="preserve"> </t>
        </is>
      </c>
      <c r="B219" s="41" t="n"/>
      <c r="C219" s="41" t="n"/>
      <c r="D219" s="41" t="n"/>
      <c r="E219" s="41" t="n"/>
      <c r="F219" s="41" t="n"/>
      <c r="G219" s="41" t="n"/>
      <c r="H219" s="41" t="n"/>
      <c r="I219" s="41" t="n"/>
      <c r="J219" s="41" t="n"/>
      <c r="K219" s="41" t="n"/>
      <c r="L219" s="41" t="n"/>
      <c r="M219" s="41" t="n"/>
      <c r="N219" s="41" t="n"/>
      <c r="O219" s="41" t="n"/>
      <c r="Q219">
        <f>LEFT(I219,9)</f>
        <v/>
      </c>
      <c r="R219">
        <f>TRIM(B219)</f>
        <v/>
      </c>
      <c r="S219">
        <f>COUNTIF($X$1:$X$9,R219) &gt; 0</f>
        <v/>
      </c>
      <c r="T219">
        <f>IF(AND(S219=FALSE,LEN(R219)&gt;2),4,IF(S219=TRUE,INDEX($Y$1:$Y$9,MATCH(R219,$X$1:$X$9,0)),""))</f>
        <v/>
      </c>
      <c r="U219">
        <f>IF(R219&lt;&gt;"",IF(Q224="",0,MATCH(TRUE,INDEX(Q224:$Q$1100="",0),0)-1),"")</f>
        <v/>
      </c>
      <c r="V219">
        <f>IF(AND(T219&lt;&gt;"",U219&lt;&gt;""),IF(U219-T219&lt;=0,"Falls Short",U219-T219),"")</f>
        <v/>
      </c>
      <c r="W219">
        <f>IF(AND(R219&lt;&gt;"",V219&lt;&gt;"Falls Short"),20*V219,"")</f>
        <v/>
      </c>
    </row>
    <row r="220" ht="15" customHeight="1" s="21">
      <c r="A220" s="46" t="n"/>
      <c r="B220" s="41" t="n"/>
      <c r="C220" s="41" t="n"/>
      <c r="D220" s="41" t="n"/>
      <c r="E220" s="46" t="n"/>
      <c r="F220" s="41" t="n"/>
      <c r="G220" s="41" t="n"/>
      <c r="H220" s="48" t="inlineStr">
        <is>
          <t>12 / 2025</t>
        </is>
      </c>
      <c r="I220" s="41" t="n"/>
      <c r="J220" s="48" t="inlineStr">
        <is>
          <t>5</t>
        </is>
      </c>
      <c r="K220" s="46" t="n"/>
      <c r="L220" s="41" t="n"/>
      <c r="M220" s="41" t="n"/>
      <c r="N220" s="41" t="n"/>
      <c r="O220" s="41" t="n"/>
      <c r="Q220">
        <f>LEFT(I220,9)</f>
        <v/>
      </c>
      <c r="R220">
        <f>TRIM(B220)</f>
        <v/>
      </c>
      <c r="S220">
        <f>COUNTIF($X$1:$X$9,R220) &gt; 0</f>
        <v/>
      </c>
      <c r="T220">
        <f>IF(AND(S220=FALSE,LEN(R220)&gt;2),4,IF(S220=TRUE,INDEX($Y$1:$Y$9,MATCH(R220,$X$1:$X$9,0)),""))</f>
        <v/>
      </c>
      <c r="U220">
        <f>IF(R220&lt;&gt;"",IF(Q225="",0,MATCH(TRUE,INDEX(Q225:$Q$1100="",0),0)-1),"")</f>
        <v/>
      </c>
      <c r="V220">
        <f>IF(AND(T220&lt;&gt;"",U220&lt;&gt;""),IF(U220-T220&lt;=0,"Falls Short",U220-T220),"")</f>
        <v/>
      </c>
      <c r="W220">
        <f>IF(AND(R220&lt;&gt;"",V220&lt;&gt;"Falls Short"),20*V220,"")</f>
        <v/>
      </c>
    </row>
    <row r="221" ht="15" customHeight="1" s="21">
      <c r="A221" s="43" t="inlineStr">
        <is>
          <t xml:space="preserve"> </t>
        </is>
      </c>
      <c r="B221" s="41" t="n"/>
      <c r="C221" s="41" t="n"/>
      <c r="D221" s="41" t="n"/>
      <c r="E221" s="41" t="n"/>
      <c r="F221" s="41" t="n"/>
      <c r="G221" s="41" t="n"/>
      <c r="H221" s="41" t="n"/>
      <c r="I221" s="41" t="n"/>
      <c r="J221" s="41" t="n"/>
      <c r="K221" s="41" t="n"/>
      <c r="L221" s="41" t="n"/>
      <c r="M221" s="41" t="n"/>
      <c r="N221" s="41" t="n"/>
      <c r="O221" s="41" t="n"/>
      <c r="Q221">
        <f>LEFT(I221,9)</f>
        <v/>
      </c>
      <c r="R221">
        <f>TRIM(B221)</f>
        <v/>
      </c>
      <c r="S221">
        <f>COUNTIF($X$1:$X$9,R221) &gt; 0</f>
        <v/>
      </c>
      <c r="T221">
        <f>IF(AND(S221=FALSE,LEN(R221)&gt;2),4,IF(S221=TRUE,INDEX($Y$1:$Y$9,MATCH(R221,$X$1:$X$9,0)),""))</f>
        <v/>
      </c>
      <c r="U221">
        <f>IF(R221&lt;&gt;"",IF(Q226="",0,MATCH(TRUE,INDEX(Q226:$Q$1100="",0),0)-1),"")</f>
        <v/>
      </c>
      <c r="V221">
        <f>IF(AND(T221&lt;&gt;"",U221&lt;&gt;""),IF(U221-T221&lt;=0,"Falls Short",U221-T221),"")</f>
        <v/>
      </c>
      <c r="W221">
        <f>IF(AND(R221&lt;&gt;"",V221&lt;&gt;"Falls Short"),20*V221,"")</f>
        <v/>
      </c>
    </row>
    <row r="222" ht="15" customHeight="1" s="21">
      <c r="A222" s="48" t="inlineStr">
        <is>
          <t xml:space="preserve"> </t>
        </is>
      </c>
      <c r="B222" s="41" t="n"/>
      <c r="C222" s="41" t="n"/>
      <c r="D222" s="46" t="n"/>
      <c r="E222" s="41" t="n"/>
      <c r="F222" s="41" t="n"/>
      <c r="G222" s="41" t="n"/>
      <c r="H222" s="41" t="n"/>
      <c r="I222" s="48" t="inlineStr">
        <is>
          <t>07-DEC-25</t>
        </is>
      </c>
      <c r="J222" s="41" t="n"/>
      <c r="K222" s="48" t="inlineStr">
        <is>
          <t>Training C</t>
        </is>
      </c>
      <c r="L222" s="41" t="n"/>
      <c r="M222" s="48" t="inlineStr">
        <is>
          <t xml:space="preserve">P80 </t>
        </is>
      </c>
      <c r="N222" s="41" t="n"/>
      <c r="O222" s="41" t="n"/>
      <c r="Q222">
        <f>LEFT(I222,9)</f>
        <v/>
      </c>
      <c r="R222">
        <f>TRIM(B222)</f>
        <v/>
      </c>
      <c r="S222">
        <f>COUNTIF($X$1:$X$9,R222) &gt; 0</f>
        <v/>
      </c>
      <c r="T222">
        <f>IF(AND(S222=FALSE,LEN(R222)&gt;2),4,IF(S222=TRUE,INDEX($Y$1:$Y$9,MATCH(R222,$X$1:$X$9,0)),""))</f>
        <v/>
      </c>
      <c r="U222">
        <f>IF(R222&lt;&gt;"",IF(Q227="",0,MATCH(TRUE,INDEX(Q227:$Q$1100="",0),0)-1),"")</f>
        <v/>
      </c>
      <c r="V222">
        <f>IF(AND(T222&lt;&gt;"",U222&lt;&gt;""),IF(U222-T222&lt;=0,"Falls Short",U222-T222),"")</f>
        <v/>
      </c>
      <c r="W222">
        <f>IF(AND(R222&lt;&gt;"",V222&lt;&gt;"Falls Short"),20*V222,"")</f>
        <v/>
      </c>
    </row>
    <row r="223" ht="15" customHeight="1" s="21">
      <c r="A223" s="48" t="inlineStr">
        <is>
          <t xml:space="preserve"> </t>
        </is>
      </c>
      <c r="B223" s="41" t="n"/>
      <c r="C223" s="41" t="n"/>
      <c r="D223" s="46" t="n"/>
      <c r="E223" s="41" t="n"/>
      <c r="F223" s="41" t="n"/>
      <c r="G223" s="41" t="n"/>
      <c r="H223" s="41" t="n"/>
      <c r="I223" s="48" t="inlineStr">
        <is>
          <t>09-DEC-25</t>
        </is>
      </c>
      <c r="J223" s="41" t="n"/>
      <c r="K223" s="48" t="inlineStr">
        <is>
          <t>Training C</t>
        </is>
      </c>
      <c r="L223" s="41" t="n"/>
      <c r="M223" s="48" t="inlineStr">
        <is>
          <t xml:space="preserve">P80 </t>
        </is>
      </c>
      <c r="N223" s="41" t="n"/>
      <c r="O223" s="41" t="n"/>
      <c r="Q223">
        <f>LEFT(I223,9)</f>
        <v/>
      </c>
      <c r="R223">
        <f>TRIM(B223)</f>
        <v/>
      </c>
      <c r="S223">
        <f>COUNTIF($X$1:$X$9,R223) &gt; 0</f>
        <v/>
      </c>
      <c r="T223">
        <f>IF(AND(S223=FALSE,LEN(R223)&gt;2),4,IF(S223=TRUE,INDEX($Y$1:$Y$9,MATCH(R223,$X$1:$X$9,0)),""))</f>
        <v/>
      </c>
      <c r="U223">
        <f>IF(R223&lt;&gt;"",IF(Q228="",0,MATCH(TRUE,INDEX(Q228:$Q$1100="",0),0)-1),"")</f>
        <v/>
      </c>
      <c r="V223">
        <f>IF(AND(T223&lt;&gt;"",U223&lt;&gt;""),IF(U223-T223&lt;=0,"Falls Short",U223-T223),"")</f>
        <v/>
      </c>
      <c r="W223">
        <f>IF(AND(R223&lt;&gt;"",V223&lt;&gt;"Falls Short"),20*V223,"")</f>
        <v/>
      </c>
    </row>
    <row r="224" ht="15" customHeight="1" s="21">
      <c r="A224" s="48" t="inlineStr">
        <is>
          <t xml:space="preserve"> </t>
        </is>
      </c>
      <c r="B224" s="41" t="n"/>
      <c r="C224" s="41" t="n"/>
      <c r="D224" s="46" t="n"/>
      <c r="E224" s="41" t="n"/>
      <c r="F224" s="41" t="n"/>
      <c r="G224" s="41" t="n"/>
      <c r="H224" s="41" t="n"/>
      <c r="I224" s="48" t="inlineStr">
        <is>
          <t>10-DEC-25</t>
        </is>
      </c>
      <c r="J224" s="41" t="n"/>
      <c r="K224" s="48" t="inlineStr">
        <is>
          <t>Training C</t>
        </is>
      </c>
      <c r="L224" s="41" t="n"/>
      <c r="M224" s="48" t="inlineStr">
        <is>
          <t xml:space="preserve">P80 </t>
        </is>
      </c>
      <c r="N224" s="41" t="n"/>
      <c r="O224" s="41" t="n"/>
      <c r="Q224">
        <f>LEFT(I224,9)</f>
        <v/>
      </c>
      <c r="R224">
        <f>TRIM(B224)</f>
        <v/>
      </c>
      <c r="S224">
        <f>COUNTIF($X$1:$X$9,R224) &gt; 0</f>
        <v/>
      </c>
      <c r="T224">
        <f>IF(AND(S224=FALSE,LEN(R224)&gt;2),4,IF(S224=TRUE,INDEX($Y$1:$Y$9,MATCH(R224,$X$1:$X$9,0)),""))</f>
        <v/>
      </c>
      <c r="U224">
        <f>IF(R224&lt;&gt;"",IF(Q229="",0,MATCH(TRUE,INDEX(Q229:$Q$1100="",0),0)-1),"")</f>
        <v/>
      </c>
      <c r="V224">
        <f>IF(AND(T224&lt;&gt;"",U224&lt;&gt;""),IF(U224-T224&lt;=0,"Falls Short",U224-T224),"")</f>
        <v/>
      </c>
      <c r="W224">
        <f>IF(AND(R224&lt;&gt;"",V224&lt;&gt;"Falls Short"),20*V224,"")</f>
        <v/>
      </c>
    </row>
    <row r="225" ht="15" customHeight="1" s="21">
      <c r="A225" s="48" t="inlineStr">
        <is>
          <t xml:space="preserve"> </t>
        </is>
      </c>
      <c r="B225" s="41" t="n"/>
      <c r="C225" s="41" t="n"/>
      <c r="D225" s="46" t="n"/>
      <c r="E225" s="41" t="n"/>
      <c r="F225" s="41" t="n"/>
      <c r="G225" s="41" t="n"/>
      <c r="H225" s="41" t="n"/>
      <c r="I225" s="48" t="inlineStr">
        <is>
          <t>11-DEC-25</t>
        </is>
      </c>
      <c r="J225" s="41" t="n"/>
      <c r="K225" s="48" t="inlineStr">
        <is>
          <t>Training C</t>
        </is>
      </c>
      <c r="L225" s="41" t="n"/>
      <c r="M225" s="48" t="inlineStr">
        <is>
          <t xml:space="preserve">P80 </t>
        </is>
      </c>
      <c r="N225" s="41" t="n"/>
      <c r="O225" s="41" t="n"/>
      <c r="Q225">
        <f>LEFT(I225,9)</f>
        <v/>
      </c>
      <c r="R225">
        <f>TRIM(B225)</f>
        <v/>
      </c>
      <c r="S225">
        <f>COUNTIF($X$1:$X$9,R225) &gt; 0</f>
        <v/>
      </c>
      <c r="T225">
        <f>IF(AND(S225=FALSE,LEN(R225)&gt;2),4,IF(S225=TRUE,INDEX($Y$1:$Y$9,MATCH(R225,$X$1:$X$9,0)),""))</f>
        <v/>
      </c>
      <c r="U225">
        <f>IF(R225&lt;&gt;"",IF(Q230="",0,MATCH(TRUE,INDEX(Q230:$Q$1100="",0),0)-1),"")</f>
        <v/>
      </c>
      <c r="V225">
        <f>IF(AND(T225&lt;&gt;"",U225&lt;&gt;""),IF(U225-T225&lt;=0,"Falls Short",U225-T225),"")</f>
        <v/>
      </c>
      <c r="W225">
        <f>IF(AND(R225&lt;&gt;"",V225&lt;&gt;"Falls Short"),20*V225,"")</f>
        <v/>
      </c>
    </row>
    <row r="226" ht="15" customHeight="1" s="21">
      <c r="A226" s="48" t="inlineStr">
        <is>
          <t xml:space="preserve"> </t>
        </is>
      </c>
      <c r="B226" s="41" t="n"/>
      <c r="C226" s="41" t="n"/>
      <c r="D226" s="46" t="n"/>
      <c r="E226" s="41" t="n"/>
      <c r="F226" s="41" t="n"/>
      <c r="G226" s="41" t="n"/>
      <c r="H226" s="41" t="n"/>
      <c r="I226" s="48" t="inlineStr">
        <is>
          <t>12-DEC-25</t>
        </is>
      </c>
      <c r="J226" s="41" t="n"/>
      <c r="K226" s="48" t="inlineStr">
        <is>
          <t>Training C</t>
        </is>
      </c>
      <c r="L226" s="41" t="n"/>
      <c r="M226" s="48" t="inlineStr">
        <is>
          <t xml:space="preserve">P80 </t>
        </is>
      </c>
      <c r="N226" s="41" t="n"/>
      <c r="O226" s="41" t="n"/>
      <c r="Q226">
        <f>LEFT(I226,9)</f>
        <v/>
      </c>
      <c r="R226">
        <f>TRIM(B226)</f>
        <v/>
      </c>
      <c r="S226">
        <f>COUNTIF($X$1:$X$9,R226) &gt; 0</f>
        <v/>
      </c>
      <c r="T226">
        <f>IF(AND(S226=FALSE,LEN(R226)&gt;2),4,IF(S226=TRUE,INDEX($Y$1:$Y$9,MATCH(R226,$X$1:$X$9,0)),""))</f>
        <v/>
      </c>
      <c r="U226">
        <f>IF(R226&lt;&gt;"",IF(Q231="",0,MATCH(TRUE,INDEX(Q231:$Q$1100="",0),0)-1),"")</f>
        <v/>
      </c>
      <c r="V226">
        <f>IF(AND(T226&lt;&gt;"",U226&lt;&gt;""),IF(U226-T226&lt;=0,"Falls Short",U226-T226),"")</f>
        <v/>
      </c>
      <c r="W226">
        <f>IF(AND(R226&lt;&gt;"",V226&lt;&gt;"Falls Short"),20*V226,"")</f>
        <v/>
      </c>
    </row>
    <row r="227" ht="15" customHeight="1" s="21">
      <c r="A227" s="49" t="inlineStr">
        <is>
          <t xml:space="preserve"> </t>
        </is>
      </c>
      <c r="B227" s="41" t="n"/>
      <c r="C227" s="41" t="n"/>
      <c r="D227" s="41" t="n"/>
      <c r="E227" s="41" t="n"/>
      <c r="F227" s="41" t="n"/>
      <c r="G227" s="41" t="n"/>
      <c r="H227" s="41" t="n"/>
      <c r="I227" s="41" t="n"/>
      <c r="J227" s="41" t="n"/>
      <c r="K227" s="41" t="n"/>
      <c r="L227" s="41" t="n"/>
      <c r="M227" s="41" t="n"/>
      <c r="N227" s="41" t="n"/>
      <c r="O227" s="41" t="n"/>
      <c r="Q227">
        <f>LEFT(I227,9)</f>
        <v/>
      </c>
      <c r="R227">
        <f>TRIM(B227)</f>
        <v/>
      </c>
      <c r="S227">
        <f>COUNTIF($X$1:$X$9,R227) &gt; 0</f>
        <v/>
      </c>
      <c r="T227">
        <f>IF(AND(S227=FALSE,LEN(R227)&gt;2),4,IF(S227=TRUE,INDEX($Y$1:$Y$9,MATCH(R227,$X$1:$X$9,0)),""))</f>
        <v/>
      </c>
      <c r="U227">
        <f>IF(R227&lt;&gt;"",IF(Q232="",0,MATCH(TRUE,INDEX(Q232:$Q$1100="",0),0)-1),"")</f>
        <v/>
      </c>
      <c r="V227">
        <f>IF(AND(T227&lt;&gt;"",U227&lt;&gt;""),IF(U227-T227&lt;=0,"Falls Short",U227-T227),"")</f>
        <v/>
      </c>
      <c r="W227">
        <f>IF(AND(R227&lt;&gt;"",V227&lt;&gt;"Falls Short"),20*V227,"")</f>
        <v/>
      </c>
    </row>
    <row r="228" ht="21.8" customHeight="1" s="21">
      <c r="A228" s="49" t="inlineStr">
        <is>
          <t xml:space="preserve"> </t>
        </is>
      </c>
      <c r="B228" s="41" t="n"/>
      <c r="C228" s="41" t="n"/>
      <c r="D228" s="41" t="n"/>
      <c r="E228" s="41" t="n"/>
      <c r="F228" s="41" t="n"/>
      <c r="G228" s="41" t="n"/>
      <c r="H228" s="41" t="n"/>
      <c r="I228" s="41" t="n"/>
      <c r="J228" s="41" t="n"/>
      <c r="K228" s="41" t="n"/>
      <c r="L228" s="41" t="n"/>
      <c r="M228" s="41" t="n"/>
      <c r="N228" s="41" t="n"/>
      <c r="O228" s="41" t="n"/>
      <c r="Q228">
        <f>LEFT(I228,9)</f>
        <v/>
      </c>
      <c r="R228">
        <f>TRIM(B228)</f>
        <v/>
      </c>
      <c r="S228">
        <f>COUNTIF($X$1:$X$9,R228) &gt; 0</f>
        <v/>
      </c>
      <c r="T228">
        <f>IF(AND(S228=FALSE,LEN(R228)&gt;2),4,IF(S228=TRUE,INDEX($Y$1:$Y$9,MATCH(R228,$X$1:$X$9,0)),""))</f>
        <v/>
      </c>
      <c r="U228">
        <f>IF(R228&lt;&gt;"",IF(Q233="",0,MATCH(TRUE,INDEX(Q233:$Q$1100="",0),0)-1),"")</f>
        <v/>
      </c>
      <c r="V228">
        <f>IF(AND(T228&lt;&gt;"",U228&lt;&gt;""),IF(U228-T228&lt;=0,"Falls Short",U228-T228),"")</f>
        <v/>
      </c>
      <c r="W228">
        <f>IF(AND(R228&lt;&gt;"",V228&lt;&gt;"Falls Short"),20*V228,"")</f>
        <v/>
      </c>
    </row>
    <row r="229" ht="15" customHeight="1" s="21">
      <c r="A229" s="43" t="inlineStr">
        <is>
          <t xml:space="preserve"> </t>
        </is>
      </c>
      <c r="B229" s="41" t="n"/>
      <c r="C229" s="41" t="n"/>
      <c r="D229" s="41" t="n"/>
      <c r="E229" s="41" t="n"/>
      <c r="F229" s="41" t="n"/>
      <c r="G229" s="41" t="n"/>
      <c r="H229" s="41" t="n"/>
      <c r="I229" s="41" t="n"/>
      <c r="J229" s="41" t="n"/>
      <c r="K229" s="41" t="n"/>
      <c r="L229" s="41" t="n"/>
      <c r="M229" s="41" t="n"/>
      <c r="N229" s="41" t="n"/>
      <c r="O229" s="41" t="n"/>
      <c r="Q229">
        <f>LEFT(I229,9)</f>
        <v/>
      </c>
      <c r="R229">
        <f>TRIM(B229)</f>
        <v/>
      </c>
      <c r="S229">
        <f>COUNTIF($X$1:$X$9,R229) &gt; 0</f>
        <v/>
      </c>
      <c r="T229">
        <f>IF(AND(S229=FALSE,LEN(R229)&gt;2),4,IF(S229=TRUE,INDEX($Y$1:$Y$9,MATCH(R229,$X$1:$X$9,0)),""))</f>
        <v/>
      </c>
      <c r="U229">
        <f>IF(R229&lt;&gt;"",IF(Q234="",0,MATCH(TRUE,INDEX(Q234:$Q$1100="",0),0)-1),"")</f>
        <v/>
      </c>
      <c r="V229">
        <f>IF(AND(T229&lt;&gt;"",U229&lt;&gt;""),IF(U229-T229&lt;=0,"Falls Short",U229-T229),"")</f>
        <v/>
      </c>
      <c r="W229">
        <f>IF(AND(R229&lt;&gt;"",V229&lt;&gt;"Falls Short"),20*V229,"")</f>
        <v/>
      </c>
    </row>
    <row r="230" ht="15" customHeight="1" s="21">
      <c r="A230" s="44" t="n"/>
      <c r="B230" s="44" t="n"/>
      <c r="C230" s="44" t="n"/>
      <c r="D230" s="41" t="n"/>
      <c r="E230" s="41" t="n"/>
      <c r="F230" s="41" t="n"/>
      <c r="G230" s="44" t="n"/>
      <c r="H230" s="45" t="inlineStr">
        <is>
          <t>Month</t>
        </is>
      </c>
      <c r="I230" s="41" t="n"/>
      <c r="J230" s="45" t="inlineStr">
        <is>
          <t>Days</t>
        </is>
      </c>
      <c r="K230" s="41" t="n"/>
      <c r="L230" s="41" t="n"/>
      <c r="M230" s="45" t="inlineStr">
        <is>
          <t>Total</t>
        </is>
      </c>
      <c r="N230" s="41" t="n"/>
      <c r="O230" s="41" t="n"/>
      <c r="Q230">
        <f>LEFT(I230,9)</f>
        <v/>
      </c>
      <c r="R230">
        <f>TRIM(B230)</f>
        <v/>
      </c>
      <c r="S230">
        <f>COUNTIF($X$1:$X$9,R230) &gt; 0</f>
        <v/>
      </c>
      <c r="T230">
        <f>IF(AND(S230=FALSE,LEN(R230)&gt;2),4,IF(S230=TRUE,INDEX($Y$1:$Y$9,MATCH(R230,$X$1:$X$9,0)),""))</f>
        <v/>
      </c>
      <c r="U230">
        <f>IF(R230&lt;&gt;"",IF(Q235="",0,MATCH(TRUE,INDEX(Q235:$Q$1100="",0),0)-1),"")</f>
        <v/>
      </c>
      <c r="V230">
        <f>IF(AND(T230&lt;&gt;"",U230&lt;&gt;""),IF(U230-T230&lt;=0,"Falls Short",U230-T230),"")</f>
        <v/>
      </c>
      <c r="W230">
        <f>IF(AND(R230&lt;&gt;"",V230&lt;&gt;"Falls Short"),20*V230,"")</f>
        <v/>
      </c>
    </row>
    <row r="231" ht="15" customHeight="1" s="21">
      <c r="A231" s="46" t="inlineStr">
        <is>
          <t>Job Role X</t>
        </is>
      </c>
      <c r="B231" s="42" t="inlineStr">
        <is>
          <t>BIM</t>
        </is>
      </c>
      <c r="C231" s="42" t="inlineStr">
        <is>
          <t xml:space="preserve">   BETA TWO</t>
        </is>
      </c>
      <c r="D231" s="41" t="n"/>
      <c r="E231" s="41" t="n"/>
      <c r="F231" s="41" t="n"/>
      <c r="G231" s="42" t="inlineStr">
        <is>
          <t xml:space="preserve">10026       </t>
        </is>
      </c>
      <c r="H231" s="47" t="n"/>
      <c r="I231" s="41" t="n"/>
      <c r="J231" s="47" t="n"/>
      <c r="K231" s="41" t="n"/>
      <c r="L231" s="41" t="n"/>
      <c r="M231" s="47" t="n"/>
      <c r="N231" s="41" t="n"/>
      <c r="O231" s="41" t="n"/>
      <c r="Q231">
        <f>LEFT(I231,9)</f>
        <v/>
      </c>
      <c r="R231">
        <f>TRIM(B231)</f>
        <v/>
      </c>
      <c r="S231">
        <f>COUNTIF($X$1:$X$9,R231) &gt; 0</f>
        <v/>
      </c>
      <c r="T231">
        <f>IF(AND(S231=FALSE,LEN(R231)&gt;2),4,IF(S231=TRUE,INDEX($Y$1:$Y$9,MATCH(R231,$X$1:$X$9,0)),""))</f>
        <v/>
      </c>
      <c r="U231">
        <f>IF(R231&lt;&gt;"",IF(Q236="",0,MATCH(TRUE,INDEX(Q236:$Q$1100="",0),0)-1),"")</f>
        <v/>
      </c>
      <c r="V231">
        <f>IF(AND(T231&lt;&gt;"",U231&lt;&gt;""),IF(U231-T231&lt;=0,"Falls Short",U231-T231),"")</f>
        <v/>
      </c>
      <c r="W231">
        <f>IF(AND(R231&lt;&gt;"",V231&lt;&gt;"Falls Short"),20*V231,"")</f>
        <v/>
      </c>
    </row>
    <row r="232" ht="15" customHeight="1" s="21">
      <c r="A232" s="42" t="n"/>
      <c r="B232" s="46" t="n"/>
      <c r="C232" s="46" t="n"/>
      <c r="D232" s="41" t="n"/>
      <c r="E232" s="41" t="n"/>
      <c r="F232" s="41" t="n"/>
      <c r="G232" s="46" t="n"/>
      <c r="H232" s="46" t="n"/>
      <c r="I232" s="41" t="n"/>
      <c r="J232" s="46" t="n"/>
      <c r="K232" s="41" t="n"/>
      <c r="L232" s="41" t="n"/>
      <c r="M232" s="48" t="inlineStr">
        <is>
          <t>6</t>
        </is>
      </c>
      <c r="N232" s="41" t="n"/>
      <c r="O232" s="41" t="n"/>
      <c r="Q232">
        <f>LEFT(I232,9)</f>
        <v/>
      </c>
      <c r="R232">
        <f>TRIM(B232)</f>
        <v/>
      </c>
      <c r="S232">
        <f>COUNTIF($X$1:$X$9,R232) &gt; 0</f>
        <v/>
      </c>
      <c r="T232">
        <f>IF(AND(S232=FALSE,LEN(R232)&gt;2),4,IF(S232=TRUE,INDEX($Y$1:$Y$9,MATCH(R232,$X$1:$X$9,0)),""))</f>
        <v/>
      </c>
      <c r="U232">
        <f>IF(R232&lt;&gt;"",IF(Q237="",0,MATCH(TRUE,INDEX(Q237:$Q$1100="",0),0)-1),"")</f>
        <v/>
      </c>
      <c r="V232">
        <f>IF(AND(T232&lt;&gt;"",U232&lt;&gt;""),IF(U232-T232&lt;=0,"Falls Short",U232-T232),"")</f>
        <v/>
      </c>
      <c r="W232">
        <f>IF(AND(R232&lt;&gt;"",V232&lt;&gt;"Falls Short"),20*V232,"")</f>
        <v/>
      </c>
    </row>
    <row r="233" ht="15" customHeight="1" s="21">
      <c r="A233" s="43" t="inlineStr">
        <is>
          <t xml:space="preserve"> </t>
        </is>
      </c>
      <c r="B233" s="41" t="n"/>
      <c r="C233" s="41" t="n"/>
      <c r="D233" s="41" t="n"/>
      <c r="E233" s="41" t="n"/>
      <c r="F233" s="41" t="n"/>
      <c r="G233" s="41" t="n"/>
      <c r="H233" s="41" t="n"/>
      <c r="I233" s="41" t="n"/>
      <c r="J233" s="41" t="n"/>
      <c r="K233" s="41" t="n"/>
      <c r="L233" s="41" t="n"/>
      <c r="M233" s="41" t="n"/>
      <c r="N233" s="41" t="n"/>
      <c r="O233" s="41" t="n"/>
      <c r="Q233">
        <f>LEFT(I233,9)</f>
        <v/>
      </c>
      <c r="R233">
        <f>TRIM(B233)</f>
        <v/>
      </c>
      <c r="S233">
        <f>COUNTIF($X$1:$X$9,R233) &gt; 0</f>
        <v/>
      </c>
      <c r="T233">
        <f>IF(AND(S233=FALSE,LEN(R233)&gt;2),4,IF(S233=TRUE,INDEX($Y$1:$Y$9,MATCH(R233,$X$1:$X$9,0)),""))</f>
        <v/>
      </c>
      <c r="U233">
        <f>IF(R233&lt;&gt;"",IF(Q238="",0,MATCH(TRUE,INDEX(Q238:$Q$1100="",0),0)-1),"")</f>
        <v/>
      </c>
      <c r="V233">
        <f>IF(AND(T233&lt;&gt;"",U233&lt;&gt;""),IF(U233-T233&lt;=0,"Falls Short",U233-T233),"")</f>
        <v/>
      </c>
      <c r="W233">
        <f>IF(AND(R233&lt;&gt;"",V233&lt;&gt;"Falls Short"),20*V233,"")</f>
        <v/>
      </c>
    </row>
    <row r="234" ht="15" customHeight="1" s="21">
      <c r="A234" s="46" t="n"/>
      <c r="B234" s="41" t="n"/>
      <c r="C234" s="41" t="n"/>
      <c r="D234" s="41" t="n"/>
      <c r="E234" s="46" t="n"/>
      <c r="F234" s="41" t="n"/>
      <c r="G234" s="41" t="n"/>
      <c r="H234" s="48" t="inlineStr">
        <is>
          <t>12 / 2025</t>
        </is>
      </c>
      <c r="I234" s="41" t="n"/>
      <c r="J234" s="48" t="inlineStr">
        <is>
          <t>6</t>
        </is>
      </c>
      <c r="K234" s="46" t="n"/>
      <c r="L234" s="41" t="n"/>
      <c r="M234" s="41" t="n"/>
      <c r="N234" s="41" t="n"/>
      <c r="O234" s="41" t="n"/>
      <c r="Q234">
        <f>LEFT(I234,9)</f>
        <v/>
      </c>
      <c r="R234">
        <f>TRIM(B234)</f>
        <v/>
      </c>
      <c r="S234">
        <f>COUNTIF($X$1:$X$9,R234) &gt; 0</f>
        <v/>
      </c>
      <c r="T234">
        <f>IF(AND(S234=FALSE,LEN(R234)&gt;2),4,IF(S234=TRUE,INDEX($Y$1:$Y$9,MATCH(R234,$X$1:$X$9,0)),""))</f>
        <v/>
      </c>
      <c r="U234">
        <f>IF(R234&lt;&gt;"",IF(Q239="",0,MATCH(TRUE,INDEX(Q239:$Q$1100="",0),0)-1),"")</f>
        <v/>
      </c>
      <c r="V234">
        <f>IF(AND(T234&lt;&gt;"",U234&lt;&gt;""),IF(U234-T234&lt;=0,"Falls Short",U234-T234),"")</f>
        <v/>
      </c>
      <c r="W234">
        <f>IF(AND(R234&lt;&gt;"",V234&lt;&gt;"Falls Short"),20*V234,"")</f>
        <v/>
      </c>
    </row>
    <row r="235" ht="15" customHeight="1" s="21">
      <c r="A235" s="43" t="inlineStr">
        <is>
          <t xml:space="preserve"> </t>
        </is>
      </c>
      <c r="B235" s="41" t="n"/>
      <c r="C235" s="41" t="n"/>
      <c r="D235" s="41" t="n"/>
      <c r="E235" s="41" t="n"/>
      <c r="F235" s="41" t="n"/>
      <c r="G235" s="41" t="n"/>
      <c r="H235" s="41" t="n"/>
      <c r="I235" s="41" t="n"/>
      <c r="J235" s="41" t="n"/>
      <c r="K235" s="41" t="n"/>
      <c r="L235" s="41" t="n"/>
      <c r="M235" s="41" t="n"/>
      <c r="N235" s="41" t="n"/>
      <c r="O235" s="41" t="n"/>
      <c r="Q235">
        <f>LEFT(I235,9)</f>
        <v/>
      </c>
      <c r="R235">
        <f>TRIM(B235)</f>
        <v/>
      </c>
      <c r="S235">
        <f>COUNTIF($X$1:$X$9,R235) &gt; 0</f>
        <v/>
      </c>
      <c r="T235">
        <f>IF(AND(S235=FALSE,LEN(R235)&gt;2),4,IF(S235=TRUE,INDEX($Y$1:$Y$9,MATCH(R235,$X$1:$X$9,0)),""))</f>
        <v/>
      </c>
      <c r="U235">
        <f>IF(R235&lt;&gt;"",IF(Q240="",0,MATCH(TRUE,INDEX(Q240:$Q$1100="",0),0)-1),"")</f>
        <v/>
      </c>
      <c r="V235">
        <f>IF(AND(T235&lt;&gt;"",U235&lt;&gt;""),IF(U235-T235&lt;=0,"Falls Short",U235-T235),"")</f>
        <v/>
      </c>
      <c r="W235">
        <f>IF(AND(R235&lt;&gt;"",V235&lt;&gt;"Falls Short"),20*V235,"")</f>
        <v/>
      </c>
    </row>
    <row r="236" ht="15" customHeight="1" s="21">
      <c r="A236" s="48" t="inlineStr">
        <is>
          <t xml:space="preserve"> </t>
        </is>
      </c>
      <c r="B236" s="41" t="n"/>
      <c r="C236" s="41" t="n"/>
      <c r="D236" s="46" t="n"/>
      <c r="E236" s="41" t="n"/>
      <c r="F236" s="41" t="n"/>
      <c r="G236" s="41" t="n"/>
      <c r="H236" s="41" t="n"/>
      <c r="I236" s="48" t="inlineStr">
        <is>
          <t>16-DEC-25</t>
        </is>
      </c>
      <c r="J236" s="41" t="n"/>
      <c r="K236" s="48" t="inlineStr">
        <is>
          <t>Training C</t>
        </is>
      </c>
      <c r="L236" s="41" t="n"/>
      <c r="M236" s="48" t="inlineStr">
        <is>
          <t xml:space="preserve">CDI </t>
        </is>
      </c>
      <c r="N236" s="41" t="n"/>
      <c r="O236" s="41" t="n"/>
      <c r="Q236">
        <f>LEFT(I236,9)</f>
        <v/>
      </c>
      <c r="R236">
        <f>TRIM(B236)</f>
        <v/>
      </c>
      <c r="S236">
        <f>COUNTIF($X$1:$X$9,R236) &gt; 0</f>
        <v/>
      </c>
      <c r="T236">
        <f>IF(AND(S236=FALSE,LEN(R236)&gt;2),4,IF(S236=TRUE,INDEX($Y$1:$Y$9,MATCH(R236,$X$1:$X$9,0)),""))</f>
        <v/>
      </c>
      <c r="U236">
        <f>IF(R236&lt;&gt;"",IF(Q241="",0,MATCH(TRUE,INDEX(Q241:$Q$1100="",0),0)-1),"")</f>
        <v/>
      </c>
      <c r="V236">
        <f>IF(AND(T236&lt;&gt;"",U236&lt;&gt;""),IF(U236-T236&lt;=0,"Falls Short",U236-T236),"")</f>
        <v/>
      </c>
      <c r="W236">
        <f>IF(AND(R236&lt;&gt;"",V236&lt;&gt;"Falls Short"),20*V236,"")</f>
        <v/>
      </c>
    </row>
    <row r="237" ht="15" customHeight="1" s="21">
      <c r="A237" s="48" t="inlineStr">
        <is>
          <t xml:space="preserve"> </t>
        </is>
      </c>
      <c r="B237" s="41" t="n"/>
      <c r="C237" s="41" t="n"/>
      <c r="D237" s="46" t="n"/>
      <c r="E237" s="41" t="n"/>
      <c r="F237" s="41" t="n"/>
      <c r="G237" s="41" t="n"/>
      <c r="H237" s="41" t="n"/>
      <c r="I237" s="48" t="inlineStr">
        <is>
          <t>17-DEC-25</t>
        </is>
      </c>
      <c r="J237" s="41" t="n"/>
      <c r="K237" s="48" t="inlineStr">
        <is>
          <t>Training C</t>
        </is>
      </c>
      <c r="L237" s="41" t="n"/>
      <c r="M237" s="48" t="inlineStr">
        <is>
          <t xml:space="preserve">CDI </t>
        </is>
      </c>
      <c r="N237" s="41" t="n"/>
      <c r="O237" s="41" t="n"/>
      <c r="Q237">
        <f>LEFT(I237,9)</f>
        <v/>
      </c>
      <c r="R237">
        <f>TRIM(B237)</f>
        <v/>
      </c>
      <c r="S237">
        <f>COUNTIF($X$1:$X$9,R237) &gt; 0</f>
        <v/>
      </c>
      <c r="T237">
        <f>IF(AND(S237=FALSE,LEN(R237)&gt;2),4,IF(S237=TRUE,INDEX($Y$1:$Y$9,MATCH(R237,$X$1:$X$9,0)),""))</f>
        <v/>
      </c>
      <c r="U237">
        <f>IF(R237&lt;&gt;"",IF(Q242="",0,MATCH(TRUE,INDEX(Q242:$Q$1100="",0),0)-1),"")</f>
        <v/>
      </c>
      <c r="V237">
        <f>IF(AND(T237&lt;&gt;"",U237&lt;&gt;""),IF(U237-T237&lt;=0,"Falls Short",U237-T237),"")</f>
        <v/>
      </c>
      <c r="W237">
        <f>IF(AND(R237&lt;&gt;"",V237&lt;&gt;"Falls Short"),20*V237,"")</f>
        <v/>
      </c>
    </row>
    <row r="238" ht="15" customHeight="1" s="21">
      <c r="A238" s="48" t="inlineStr">
        <is>
          <t xml:space="preserve"> </t>
        </is>
      </c>
      <c r="B238" s="41" t="n"/>
      <c r="C238" s="41" t="n"/>
      <c r="D238" s="46" t="n"/>
      <c r="E238" s="41" t="n"/>
      <c r="F238" s="41" t="n"/>
      <c r="G238" s="41" t="n"/>
      <c r="H238" s="41" t="n"/>
      <c r="I238" s="48" t="inlineStr">
        <is>
          <t>18-DEC-25</t>
        </is>
      </c>
      <c r="J238" s="41" t="n"/>
      <c r="K238" s="48" t="inlineStr">
        <is>
          <t>Training C</t>
        </is>
      </c>
      <c r="L238" s="41" t="n"/>
      <c r="M238" s="48" t="inlineStr">
        <is>
          <t xml:space="preserve">CDI </t>
        </is>
      </c>
      <c r="N238" s="41" t="n"/>
      <c r="O238" s="41" t="n"/>
      <c r="Q238">
        <f>LEFT(I238,9)</f>
        <v/>
      </c>
      <c r="R238">
        <f>TRIM(B238)</f>
        <v/>
      </c>
      <c r="S238">
        <f>COUNTIF($X$1:$X$9,R238) &gt; 0</f>
        <v/>
      </c>
      <c r="T238">
        <f>IF(AND(S238=FALSE,LEN(R238)&gt;2),4,IF(S238=TRUE,INDEX($Y$1:$Y$9,MATCH(R238,$X$1:$X$9,0)),""))</f>
        <v/>
      </c>
      <c r="U238">
        <f>IF(R238&lt;&gt;"",IF(Q243="",0,MATCH(TRUE,INDEX(Q243:$Q$1100="",0),0)-1),"")</f>
        <v/>
      </c>
      <c r="V238">
        <f>IF(AND(T238&lt;&gt;"",U238&lt;&gt;""),IF(U238-T238&lt;=0,"Falls Short",U238-T238),"")</f>
        <v/>
      </c>
      <c r="W238">
        <f>IF(AND(R238&lt;&gt;"",V238&lt;&gt;"Falls Short"),20*V238,"")</f>
        <v/>
      </c>
    </row>
    <row r="239" ht="15" customHeight="1" s="21">
      <c r="A239" s="48" t="inlineStr">
        <is>
          <t xml:space="preserve"> </t>
        </is>
      </c>
      <c r="B239" s="41" t="n"/>
      <c r="C239" s="41" t="n"/>
      <c r="D239" s="46" t="n"/>
      <c r="E239" s="41" t="n"/>
      <c r="F239" s="41" t="n"/>
      <c r="G239" s="41" t="n"/>
      <c r="H239" s="41" t="n"/>
      <c r="I239" s="48" t="inlineStr">
        <is>
          <t>19-DEC-25</t>
        </is>
      </c>
      <c r="J239" s="41" t="n"/>
      <c r="K239" s="48" t="inlineStr">
        <is>
          <t>Training C</t>
        </is>
      </c>
      <c r="L239" s="41" t="n"/>
      <c r="M239" s="48" t="inlineStr">
        <is>
          <t xml:space="preserve">CDI </t>
        </is>
      </c>
      <c r="N239" s="41" t="n"/>
      <c r="O239" s="41" t="n"/>
      <c r="Q239">
        <f>LEFT(I239,9)</f>
        <v/>
      </c>
      <c r="R239">
        <f>TRIM(B239)</f>
        <v/>
      </c>
      <c r="S239">
        <f>COUNTIF($X$1:$X$9,R239) &gt; 0</f>
        <v/>
      </c>
      <c r="T239">
        <f>IF(AND(S239=FALSE,LEN(R239)&gt;2),4,IF(S239=TRUE,INDEX($Y$1:$Y$9,MATCH(R239,$X$1:$X$9,0)),""))</f>
        <v/>
      </c>
      <c r="U239">
        <f>IF(R239&lt;&gt;"",IF(Q244="",0,MATCH(TRUE,INDEX(Q244:$Q$1100="",0),0)-1),"")</f>
        <v/>
      </c>
      <c r="V239">
        <f>IF(AND(T239&lt;&gt;"",U239&lt;&gt;""),IF(U239-T239&lt;=0,"Falls Short",U239-T239),"")</f>
        <v/>
      </c>
      <c r="W239">
        <f>IF(AND(R239&lt;&gt;"",V239&lt;&gt;"Falls Short"),20*V239,"")</f>
        <v/>
      </c>
    </row>
    <row r="240" ht="15" customHeight="1" s="21">
      <c r="A240" s="48" t="inlineStr">
        <is>
          <t xml:space="preserve"> </t>
        </is>
      </c>
      <c r="B240" s="41" t="n"/>
      <c r="C240" s="41" t="n"/>
      <c r="D240" s="46" t="n"/>
      <c r="E240" s="41" t="n"/>
      <c r="F240" s="41" t="n"/>
      <c r="G240" s="41" t="n"/>
      <c r="H240" s="41" t="n"/>
      <c r="I240" s="48" t="inlineStr">
        <is>
          <t>20-DEC-25</t>
        </is>
      </c>
      <c r="J240" s="41" t="n"/>
      <c r="K240" s="48" t="inlineStr">
        <is>
          <t>Training C</t>
        </is>
      </c>
      <c r="L240" s="41" t="n"/>
      <c r="M240" s="48" t="inlineStr">
        <is>
          <t xml:space="preserve">CDI </t>
        </is>
      </c>
      <c r="N240" s="41" t="n"/>
      <c r="O240" s="41" t="n"/>
      <c r="Q240">
        <f>LEFT(I240,9)</f>
        <v/>
      </c>
      <c r="R240">
        <f>TRIM(B240)</f>
        <v/>
      </c>
      <c r="S240">
        <f>COUNTIF($X$1:$X$9,R240) &gt; 0</f>
        <v/>
      </c>
      <c r="T240">
        <f>IF(AND(S240=FALSE,LEN(R240)&gt;2),4,IF(S240=TRUE,INDEX($Y$1:$Y$9,MATCH(R240,$X$1:$X$9,0)),""))</f>
        <v/>
      </c>
      <c r="U240">
        <f>IF(R240&lt;&gt;"",IF(Q245="",0,MATCH(TRUE,INDEX(Q245:$Q$1100="",0),0)-1),"")</f>
        <v/>
      </c>
      <c r="V240">
        <f>IF(AND(T240&lt;&gt;"",U240&lt;&gt;""),IF(U240-T240&lt;=0,"Falls Short",U240-T240),"")</f>
        <v/>
      </c>
      <c r="W240">
        <f>IF(AND(R240&lt;&gt;"",V240&lt;&gt;"Falls Short"),20*V240,"")</f>
        <v/>
      </c>
    </row>
    <row r="241" ht="21.8" customHeight="1" s="21">
      <c r="A241" s="48" t="inlineStr">
        <is>
          <t xml:space="preserve"> </t>
        </is>
      </c>
      <c r="B241" s="41" t="n"/>
      <c r="C241" s="41" t="n"/>
      <c r="D241" s="46" t="n"/>
      <c r="E241" s="41" t="n"/>
      <c r="F241" s="41" t="n"/>
      <c r="G241" s="41" t="n"/>
      <c r="H241" s="41" t="n"/>
      <c r="I241" s="48" t="inlineStr">
        <is>
          <t>31-DEC-25</t>
        </is>
      </c>
      <c r="J241" s="41" t="n"/>
      <c r="K241" s="48" t="inlineStr">
        <is>
          <t>Training E</t>
        </is>
      </c>
      <c r="L241" s="41" t="n"/>
      <c r="M241" s="48" t="inlineStr">
        <is>
          <t xml:space="preserve">CDI </t>
        </is>
      </c>
      <c r="N241" s="41" t="n"/>
      <c r="O241" s="41" t="n"/>
      <c r="Q241">
        <f>LEFT(I241,9)</f>
        <v/>
      </c>
      <c r="R241">
        <f>TRIM(B241)</f>
        <v/>
      </c>
      <c r="S241">
        <f>COUNTIF($X$1:$X$9,R241) &gt; 0</f>
        <v/>
      </c>
      <c r="T241">
        <f>IF(AND(S241=FALSE,LEN(R241)&gt;2),4,IF(S241=TRUE,INDEX($Y$1:$Y$9,MATCH(R241,$X$1:$X$9,0)),""))</f>
        <v/>
      </c>
      <c r="U241">
        <f>IF(R241&lt;&gt;"",IF(Q246="",0,MATCH(TRUE,INDEX(Q246:$Q$1100="",0),0)-1),"")</f>
        <v/>
      </c>
      <c r="V241">
        <f>IF(AND(T241&lt;&gt;"",U241&lt;&gt;""),IF(U241-T241&lt;=0,"Falls Short",U241-T241),"")</f>
        <v/>
      </c>
      <c r="W241">
        <f>IF(AND(R241&lt;&gt;"",V241&lt;&gt;"Falls Short"),20*V241,"")</f>
        <v/>
      </c>
    </row>
    <row r="242" ht="15" customHeight="1" s="21">
      <c r="A242" s="49" t="inlineStr">
        <is>
          <t xml:space="preserve"> </t>
        </is>
      </c>
      <c r="B242" s="41" t="n"/>
      <c r="C242" s="41" t="n"/>
      <c r="D242" s="41" t="n"/>
      <c r="E242" s="41" t="n"/>
      <c r="F242" s="41" t="n"/>
      <c r="G242" s="41" t="n"/>
      <c r="H242" s="41" t="n"/>
      <c r="I242" s="41" t="n"/>
      <c r="J242" s="41" t="n"/>
      <c r="K242" s="41" t="n"/>
      <c r="L242" s="41" t="n"/>
      <c r="M242" s="41" t="n"/>
      <c r="N242" s="41" t="n"/>
      <c r="O242" s="41" t="n"/>
      <c r="Q242">
        <f>LEFT(I242,9)</f>
        <v/>
      </c>
      <c r="R242">
        <f>TRIM(B242)</f>
        <v/>
      </c>
      <c r="S242">
        <f>COUNTIF($X$1:$X$9,R242) &gt; 0</f>
        <v/>
      </c>
      <c r="T242">
        <f>IF(AND(S242=FALSE,LEN(R242)&gt;2),4,IF(S242=TRUE,INDEX($Y$1:$Y$9,MATCH(R242,$X$1:$X$9,0)),""))</f>
        <v/>
      </c>
      <c r="U242">
        <f>IF(R242&lt;&gt;"",IF(Q247="",0,MATCH(TRUE,INDEX(Q247:$Q$1100="",0),0)-1),"")</f>
        <v/>
      </c>
      <c r="V242">
        <f>IF(AND(T242&lt;&gt;"",U242&lt;&gt;""),IF(U242-T242&lt;=0,"Falls Short",U242-T242),"")</f>
        <v/>
      </c>
      <c r="W242">
        <f>IF(AND(R242&lt;&gt;"",V242&lt;&gt;"Falls Short"),20*V242,"")</f>
        <v/>
      </c>
    </row>
    <row r="243" ht="15" customHeight="1" s="21">
      <c r="A243" s="49" t="inlineStr">
        <is>
          <t xml:space="preserve"> </t>
        </is>
      </c>
      <c r="B243" s="41" t="n"/>
      <c r="C243" s="41" t="n"/>
      <c r="D243" s="41" t="n"/>
      <c r="E243" s="41" t="n"/>
      <c r="F243" s="41" t="n"/>
      <c r="G243" s="41" t="n"/>
      <c r="H243" s="41" t="n"/>
      <c r="I243" s="41" t="n"/>
      <c r="J243" s="41" t="n"/>
      <c r="K243" s="41" t="n"/>
      <c r="L243" s="41" t="n"/>
      <c r="M243" s="41" t="n"/>
      <c r="N243" s="41" t="n"/>
      <c r="O243" s="41" t="n"/>
      <c r="Q243">
        <f>LEFT(I243,9)</f>
        <v/>
      </c>
      <c r="R243">
        <f>TRIM(B243)</f>
        <v/>
      </c>
      <c r="S243">
        <f>COUNTIF($X$1:$X$9,R243) &gt; 0</f>
        <v/>
      </c>
      <c r="T243">
        <f>IF(AND(S243=FALSE,LEN(R243)&gt;2),4,IF(S243=TRUE,INDEX($Y$1:$Y$9,MATCH(R243,$X$1:$X$9,0)),""))</f>
        <v/>
      </c>
      <c r="U243">
        <f>IF(R243&lt;&gt;"",IF(Q248="",0,MATCH(TRUE,INDEX(Q248:$Q$1100="",0),0)-1),"")</f>
        <v/>
      </c>
      <c r="V243">
        <f>IF(AND(T243&lt;&gt;"",U243&lt;&gt;""),IF(U243-T243&lt;=0,"Falls Short",U243-T243),"")</f>
        <v/>
      </c>
      <c r="W243">
        <f>IF(AND(R243&lt;&gt;"",V243&lt;&gt;"Falls Short"),20*V243,"")</f>
        <v/>
      </c>
    </row>
    <row r="244" ht="15" customHeight="1" s="21">
      <c r="A244" s="43" t="inlineStr">
        <is>
          <t xml:space="preserve"> </t>
        </is>
      </c>
      <c r="B244" s="41" t="n"/>
      <c r="C244" s="41" t="n"/>
      <c r="D244" s="41" t="n"/>
      <c r="E244" s="41" t="n"/>
      <c r="F244" s="41" t="n"/>
      <c r="G244" s="41" t="n"/>
      <c r="H244" s="41" t="n"/>
      <c r="I244" s="41" t="n"/>
      <c r="J244" s="41" t="n"/>
      <c r="K244" s="41" t="n"/>
      <c r="L244" s="41" t="n"/>
      <c r="M244" s="41" t="n"/>
      <c r="N244" s="41" t="n"/>
      <c r="O244" s="41" t="n"/>
      <c r="Q244">
        <f>LEFT(I244,9)</f>
        <v/>
      </c>
      <c r="R244">
        <f>TRIM(B244)</f>
        <v/>
      </c>
      <c r="S244">
        <f>COUNTIF($X$1:$X$9,R244) &gt; 0</f>
        <v/>
      </c>
      <c r="T244">
        <f>IF(AND(S244=FALSE,LEN(R244)&gt;2),4,IF(S244=TRUE,INDEX($Y$1:$Y$9,MATCH(R244,$X$1:$X$9,0)),""))</f>
        <v/>
      </c>
      <c r="U244">
        <f>IF(R244&lt;&gt;"",IF(Q249="",0,MATCH(TRUE,INDEX(Q249:$Q$1100="",0),0)-1),"")</f>
        <v/>
      </c>
      <c r="V244">
        <f>IF(AND(T244&lt;&gt;"",U244&lt;&gt;""),IF(U244-T244&lt;=0,"Falls Short",U244-T244),"")</f>
        <v/>
      </c>
      <c r="W244">
        <f>IF(AND(R244&lt;&gt;"",V244&lt;&gt;"Falls Short"),20*V244,"")</f>
        <v/>
      </c>
    </row>
    <row r="245" ht="15" customHeight="1" s="21">
      <c r="A245" s="44" t="n"/>
      <c r="B245" s="44" t="n"/>
      <c r="C245" s="44" t="n"/>
      <c r="D245" s="41" t="n"/>
      <c r="E245" s="41" t="n"/>
      <c r="F245" s="41" t="n"/>
      <c r="G245" s="44" t="n"/>
      <c r="H245" s="45" t="inlineStr">
        <is>
          <t>Month</t>
        </is>
      </c>
      <c r="I245" s="41" t="n"/>
      <c r="J245" s="45" t="inlineStr">
        <is>
          <t>Days</t>
        </is>
      </c>
      <c r="K245" s="41" t="n"/>
      <c r="L245" s="41" t="n"/>
      <c r="M245" s="45" t="inlineStr">
        <is>
          <t>Total</t>
        </is>
      </c>
      <c r="N245" s="41" t="n"/>
      <c r="O245" s="41" t="n"/>
      <c r="Q245">
        <f>LEFT(I245,9)</f>
        <v/>
      </c>
      <c r="R245">
        <f>TRIM(B245)</f>
        <v/>
      </c>
      <c r="S245">
        <f>COUNTIF($X$1:$X$9,R245) &gt; 0</f>
        <v/>
      </c>
      <c r="T245">
        <f>IF(AND(S245=FALSE,LEN(R245)&gt;2),4,IF(S245=TRUE,INDEX($Y$1:$Y$9,MATCH(R245,$X$1:$X$9,0)),""))</f>
        <v/>
      </c>
      <c r="U245">
        <f>IF(R245&lt;&gt;"",IF(Q250="",0,MATCH(TRUE,INDEX(Q250:$Q$1100="",0),0)-1),"")</f>
        <v/>
      </c>
      <c r="V245">
        <f>IF(AND(T245&lt;&gt;"",U245&lt;&gt;""),IF(U245-T245&lt;=0,"Falls Short",U245-T245),"")</f>
        <v/>
      </c>
      <c r="W245">
        <f>IF(AND(R245&lt;&gt;"",V245&lt;&gt;"Falls Short"),20*V245,"")</f>
        <v/>
      </c>
    </row>
    <row r="246" ht="15" customHeight="1" s="21">
      <c r="A246" s="46" t="inlineStr">
        <is>
          <t>Job Role X</t>
        </is>
      </c>
      <c r="B246" s="42" t="inlineStr">
        <is>
          <t>BHL</t>
        </is>
      </c>
      <c r="C246" s="42" t="inlineStr">
        <is>
          <t xml:space="preserve">   DELTA FOUR</t>
        </is>
      </c>
      <c r="D246" s="41" t="n"/>
      <c r="E246" s="41" t="n"/>
      <c r="F246" s="41" t="n"/>
      <c r="G246" s="42" t="inlineStr">
        <is>
          <t xml:space="preserve">10008       </t>
        </is>
      </c>
      <c r="H246" s="47" t="n"/>
      <c r="I246" s="41" t="n"/>
      <c r="J246" s="47" t="n"/>
      <c r="K246" s="41" t="n"/>
      <c r="L246" s="41" t="n"/>
      <c r="M246" s="47" t="n"/>
      <c r="N246" s="41" t="n"/>
      <c r="O246" s="41" t="n"/>
      <c r="Q246">
        <f>LEFT(I246,9)</f>
        <v/>
      </c>
      <c r="R246">
        <f>TRIM(B246)</f>
        <v/>
      </c>
      <c r="S246">
        <f>COUNTIF($X$1:$X$9,R246) &gt; 0</f>
        <v/>
      </c>
      <c r="T246">
        <f>IF(AND(S246=FALSE,LEN(R246)&gt;2),4,IF(S246=TRUE,INDEX($Y$1:$Y$9,MATCH(R246,$X$1:$X$9,0)),""))</f>
        <v/>
      </c>
      <c r="U246">
        <f>IF(R246&lt;&gt;"",IF(Q251="",0,MATCH(TRUE,INDEX(Q251:$Q$1100="",0),0)-1),"")</f>
        <v/>
      </c>
      <c r="V246">
        <f>IF(AND(T246&lt;&gt;"",U246&lt;&gt;""),IF(U246-T246&lt;=0,"Falls Short",U246-T246),"")</f>
        <v/>
      </c>
      <c r="W246">
        <f>IF(AND(R246&lt;&gt;"",V246&lt;&gt;"Falls Short"),20*V246,"")</f>
        <v/>
      </c>
    </row>
    <row r="247" ht="15" customHeight="1" s="21">
      <c r="A247" s="42" t="n"/>
      <c r="B247" s="46" t="n"/>
      <c r="C247" s="46" t="n"/>
      <c r="D247" s="41" t="n"/>
      <c r="E247" s="41" t="n"/>
      <c r="F247" s="41" t="n"/>
      <c r="G247" s="46" t="n"/>
      <c r="H247" s="46" t="n"/>
      <c r="I247" s="41" t="n"/>
      <c r="J247" s="46" t="n"/>
      <c r="K247" s="41" t="n"/>
      <c r="L247" s="41" t="n"/>
      <c r="M247" s="48" t="inlineStr">
        <is>
          <t>1</t>
        </is>
      </c>
      <c r="N247" s="41" t="n"/>
      <c r="O247" s="41" t="n"/>
      <c r="Q247">
        <f>LEFT(I247,9)</f>
        <v/>
      </c>
      <c r="R247">
        <f>TRIM(B247)</f>
        <v/>
      </c>
      <c r="S247">
        <f>COUNTIF($X$1:$X$9,R247) &gt; 0</f>
        <v/>
      </c>
      <c r="T247">
        <f>IF(AND(S247=FALSE,LEN(R247)&gt;2),4,IF(S247=TRUE,INDEX($Y$1:$Y$9,MATCH(R247,$X$1:$X$9,0)),""))</f>
        <v/>
      </c>
      <c r="U247">
        <f>IF(R247&lt;&gt;"",IF(Q252="",0,MATCH(TRUE,INDEX(Q252:$Q$1100="",0),0)-1),"")</f>
        <v/>
      </c>
      <c r="V247">
        <f>IF(AND(T247&lt;&gt;"",U247&lt;&gt;""),IF(U247-T247&lt;=0,"Falls Short",U247-T247),"")</f>
        <v/>
      </c>
      <c r="W247">
        <f>IF(AND(R247&lt;&gt;"",V247&lt;&gt;"Falls Short"),20*V247,"")</f>
        <v/>
      </c>
    </row>
    <row r="248" ht="15" customHeight="1" s="21">
      <c r="A248" s="43" t="inlineStr">
        <is>
          <t xml:space="preserve"> </t>
        </is>
      </c>
      <c r="B248" s="41" t="n"/>
      <c r="C248" s="41" t="n"/>
      <c r="D248" s="41" t="n"/>
      <c r="E248" s="41" t="n"/>
      <c r="F248" s="41" t="n"/>
      <c r="G248" s="41" t="n"/>
      <c r="H248" s="41" t="n"/>
      <c r="I248" s="41" t="n"/>
      <c r="J248" s="41" t="n"/>
      <c r="K248" s="41" t="n"/>
      <c r="L248" s="41" t="n"/>
      <c r="M248" s="41" t="n"/>
      <c r="N248" s="41" t="n"/>
      <c r="O248" s="41" t="n"/>
      <c r="Q248">
        <f>LEFT(I248,9)</f>
        <v/>
      </c>
      <c r="R248">
        <f>TRIM(B248)</f>
        <v/>
      </c>
      <c r="S248">
        <f>COUNTIF($X$1:$X$9,R248) &gt; 0</f>
        <v/>
      </c>
      <c r="T248">
        <f>IF(AND(S248=FALSE,LEN(R248)&gt;2),4,IF(S248=TRUE,INDEX($Y$1:$Y$9,MATCH(R248,$X$1:$X$9,0)),""))</f>
        <v/>
      </c>
      <c r="U248">
        <f>IF(R248&lt;&gt;"",IF(Q253="",0,MATCH(TRUE,INDEX(Q253:$Q$1100="",0),0)-1),"")</f>
        <v/>
      </c>
      <c r="V248">
        <f>IF(AND(T248&lt;&gt;"",U248&lt;&gt;""),IF(U248-T248&lt;=0,"Falls Short",U248-T248),"")</f>
        <v/>
      </c>
      <c r="W248">
        <f>IF(AND(R248&lt;&gt;"",V248&lt;&gt;"Falls Short"),20*V248,"")</f>
        <v/>
      </c>
    </row>
    <row r="249" ht="15" customHeight="1" s="21">
      <c r="A249" s="46" t="n"/>
      <c r="B249" s="41" t="n"/>
      <c r="C249" s="41" t="n"/>
      <c r="D249" s="41" t="n"/>
      <c r="E249" s="46" t="n"/>
      <c r="F249" s="41" t="n"/>
      <c r="G249" s="41" t="n"/>
      <c r="H249" s="48" t="inlineStr">
        <is>
          <t>12 / 2025</t>
        </is>
      </c>
      <c r="I249" s="41" t="n"/>
      <c r="J249" s="48" t="inlineStr">
        <is>
          <t>1</t>
        </is>
      </c>
      <c r="K249" s="46" t="n"/>
      <c r="L249" s="41" t="n"/>
      <c r="M249" s="41" t="n"/>
      <c r="N249" s="41" t="n"/>
      <c r="O249" s="41" t="n"/>
      <c r="Q249">
        <f>LEFT(I249,9)</f>
        <v/>
      </c>
      <c r="R249">
        <f>TRIM(B249)</f>
        <v/>
      </c>
      <c r="S249">
        <f>COUNTIF($X$1:$X$9,R249) &gt; 0</f>
        <v/>
      </c>
      <c r="T249">
        <f>IF(AND(S249=FALSE,LEN(R249)&gt;2),4,IF(S249=TRUE,INDEX($Y$1:$Y$9,MATCH(R249,$X$1:$X$9,0)),""))</f>
        <v/>
      </c>
      <c r="U249">
        <f>IF(R249&lt;&gt;"",IF(Q254="",0,MATCH(TRUE,INDEX(Q254:$Q$1100="",0),0)-1),"")</f>
        <v/>
      </c>
      <c r="V249">
        <f>IF(AND(T249&lt;&gt;"",U249&lt;&gt;""),IF(U249-T249&lt;=0,"Falls Short",U249-T249),"")</f>
        <v/>
      </c>
      <c r="W249">
        <f>IF(AND(R249&lt;&gt;"",V249&lt;&gt;"Falls Short"),20*V249,"")</f>
        <v/>
      </c>
    </row>
    <row r="250" ht="15" customHeight="1" s="21">
      <c r="A250" s="43" t="inlineStr">
        <is>
          <t xml:space="preserve"> </t>
        </is>
      </c>
      <c r="B250" s="41" t="n"/>
      <c r="C250" s="41" t="n"/>
      <c r="D250" s="41" t="n"/>
      <c r="E250" s="41" t="n"/>
      <c r="F250" s="41" t="n"/>
      <c r="G250" s="41" t="n"/>
      <c r="H250" s="41" t="n"/>
      <c r="I250" s="41" t="n"/>
      <c r="J250" s="41" t="n"/>
      <c r="K250" s="41" t="n"/>
      <c r="L250" s="41" t="n"/>
      <c r="M250" s="41" t="n"/>
      <c r="N250" s="41" t="n"/>
      <c r="O250" s="41" t="n"/>
      <c r="Q250">
        <f>LEFT(I250,9)</f>
        <v/>
      </c>
      <c r="R250">
        <f>TRIM(B250)</f>
        <v/>
      </c>
      <c r="S250">
        <f>COUNTIF($X$1:$X$9,R250) &gt; 0</f>
        <v/>
      </c>
      <c r="T250">
        <f>IF(AND(S250=FALSE,LEN(R250)&gt;2),4,IF(S250=TRUE,INDEX($Y$1:$Y$9,MATCH(R250,$X$1:$X$9,0)),""))</f>
        <v/>
      </c>
      <c r="U250">
        <f>IF(R250&lt;&gt;"",IF(Q255="",0,MATCH(TRUE,INDEX(Q255:$Q$1100="",0),0)-1),"")</f>
        <v/>
      </c>
      <c r="V250">
        <f>IF(AND(T250&lt;&gt;"",U250&lt;&gt;""),IF(U250-T250&lt;=0,"Falls Short",U250-T250),"")</f>
        <v/>
      </c>
      <c r="W250">
        <f>IF(AND(R250&lt;&gt;"",V250&lt;&gt;"Falls Short"),20*V250,"")</f>
        <v/>
      </c>
    </row>
    <row r="251" ht="15" customHeight="1" s="21">
      <c r="A251" s="48" t="inlineStr">
        <is>
          <t xml:space="preserve"> </t>
        </is>
      </c>
      <c r="B251" s="41" t="n"/>
      <c r="C251" s="41" t="n"/>
      <c r="D251" s="46" t="n"/>
      <c r="E251" s="41" t="n"/>
      <c r="F251" s="41" t="n"/>
      <c r="G251" s="41" t="n"/>
      <c r="H251" s="41" t="n"/>
      <c r="I251" s="48" t="inlineStr">
        <is>
          <t>23-DEC-25</t>
        </is>
      </c>
      <c r="J251" s="41" t="n"/>
      <c r="K251" s="48" t="inlineStr">
        <is>
          <t>Training H</t>
        </is>
      </c>
      <c r="L251" s="41" t="n"/>
      <c r="M251" s="48" t="inlineStr">
        <is>
          <t xml:space="preserve">CDI </t>
        </is>
      </c>
      <c r="N251" s="41" t="n"/>
      <c r="O251" s="41" t="n"/>
      <c r="Q251">
        <f>LEFT(I251,9)</f>
        <v/>
      </c>
      <c r="R251">
        <f>TRIM(B251)</f>
        <v/>
      </c>
      <c r="S251">
        <f>COUNTIF($X$1:$X$9,R251) &gt; 0</f>
        <v/>
      </c>
      <c r="T251">
        <f>IF(AND(S251=FALSE,LEN(R251)&gt;2),4,IF(S251=TRUE,INDEX($Y$1:$Y$9,MATCH(R251,$X$1:$X$9,0)),""))</f>
        <v/>
      </c>
      <c r="U251">
        <f>IF(R251&lt;&gt;"",IF(Q256="",0,MATCH(TRUE,INDEX(Q256:$Q$1100="",0),0)-1),"")</f>
        <v/>
      </c>
      <c r="V251">
        <f>IF(AND(T251&lt;&gt;"",U251&lt;&gt;""),IF(U251-T251&lt;=0,"Falls Short",U251-T251),"")</f>
        <v/>
      </c>
      <c r="W251">
        <f>IF(AND(R251&lt;&gt;"",V251&lt;&gt;"Falls Short"),20*V251,"")</f>
        <v/>
      </c>
    </row>
    <row r="252" ht="15" customHeight="1" s="21">
      <c r="A252" s="49" t="inlineStr">
        <is>
          <t xml:space="preserve"> </t>
        </is>
      </c>
      <c r="B252" s="41" t="n"/>
      <c r="C252" s="41" t="n"/>
      <c r="D252" s="41" t="n"/>
      <c r="E252" s="41" t="n"/>
      <c r="F252" s="41" t="n"/>
      <c r="G252" s="41" t="n"/>
      <c r="H252" s="41" t="n"/>
      <c r="I252" s="41" t="n"/>
      <c r="J252" s="41" t="n"/>
      <c r="K252" s="41" t="n"/>
      <c r="L252" s="41" t="n"/>
      <c r="M252" s="41" t="n"/>
      <c r="N252" s="41" t="n"/>
      <c r="O252" s="41" t="n"/>
      <c r="Q252">
        <f>LEFT(I252,9)</f>
        <v/>
      </c>
      <c r="R252">
        <f>TRIM(B252)</f>
        <v/>
      </c>
      <c r="S252">
        <f>COUNTIF($X$1:$X$9,R252) &gt; 0</f>
        <v/>
      </c>
      <c r="T252">
        <f>IF(AND(S252=FALSE,LEN(R252)&gt;2),4,IF(S252=TRUE,INDEX($Y$1:$Y$9,MATCH(R252,$X$1:$X$9,0)),""))</f>
        <v/>
      </c>
      <c r="U252">
        <f>IF(R252&lt;&gt;"",IF(Q257="",0,MATCH(TRUE,INDEX(Q257:$Q$1100="",0),0)-1),"")</f>
        <v/>
      </c>
      <c r="V252">
        <f>IF(AND(T252&lt;&gt;"",U252&lt;&gt;""),IF(U252-T252&lt;=0,"Falls Short",U252-T252),"")</f>
        <v/>
      </c>
      <c r="W252">
        <f>IF(AND(R252&lt;&gt;"",V252&lt;&gt;"Falls Short"),20*V252,"")</f>
        <v/>
      </c>
    </row>
    <row r="253" ht="15" customHeight="1" s="21">
      <c r="A253" s="49" t="inlineStr">
        <is>
          <t xml:space="preserve"> </t>
        </is>
      </c>
      <c r="B253" s="41" t="n"/>
      <c r="C253" s="41" t="n"/>
      <c r="D253" s="41" t="n"/>
      <c r="E253" s="41" t="n"/>
      <c r="F253" s="41" t="n"/>
      <c r="G253" s="41" t="n"/>
      <c r="H253" s="41" t="n"/>
      <c r="I253" s="41" t="n"/>
      <c r="J253" s="41" t="n"/>
      <c r="K253" s="41" t="n"/>
      <c r="L253" s="41" t="n"/>
      <c r="M253" s="41" t="n"/>
      <c r="N253" s="41" t="n"/>
      <c r="O253" s="41" t="n"/>
      <c r="Q253">
        <f>LEFT(I253,9)</f>
        <v/>
      </c>
      <c r="R253">
        <f>TRIM(B253)</f>
        <v/>
      </c>
      <c r="S253">
        <f>COUNTIF($X$1:$X$9,R253) &gt; 0</f>
        <v/>
      </c>
      <c r="T253">
        <f>IF(AND(S253=FALSE,LEN(R253)&gt;2),4,IF(S253=TRUE,INDEX($Y$1:$Y$9,MATCH(R253,$X$1:$X$9,0)),""))</f>
        <v/>
      </c>
      <c r="U253">
        <f>IF(R253&lt;&gt;"",IF(Q258="",0,MATCH(TRUE,INDEX(Q258:$Q$1100="",0),0)-1),"")</f>
        <v/>
      </c>
      <c r="V253">
        <f>IF(AND(T253&lt;&gt;"",U253&lt;&gt;""),IF(U253-T253&lt;=0,"Falls Short",U253-T253),"")</f>
        <v/>
      </c>
      <c r="W253">
        <f>IF(AND(R253&lt;&gt;"",V253&lt;&gt;"Falls Short"),20*V253,"")</f>
        <v/>
      </c>
    </row>
    <row r="254" ht="15" customHeight="1" s="21">
      <c r="A254" s="43" t="inlineStr">
        <is>
          <t xml:space="preserve"> </t>
        </is>
      </c>
      <c r="B254" s="41" t="n"/>
      <c r="C254" s="41" t="n"/>
      <c r="D254" s="41" t="n"/>
      <c r="E254" s="41" t="n"/>
      <c r="F254" s="41" t="n"/>
      <c r="G254" s="41" t="n"/>
      <c r="H254" s="41" t="n"/>
      <c r="I254" s="41" t="n"/>
      <c r="J254" s="41" t="n"/>
      <c r="K254" s="41" t="n"/>
      <c r="L254" s="41" t="n"/>
      <c r="M254" s="41" t="n"/>
      <c r="N254" s="41" t="n"/>
      <c r="O254" s="41" t="n"/>
      <c r="Q254">
        <f>LEFT(I254,9)</f>
        <v/>
      </c>
      <c r="R254">
        <f>TRIM(B254)</f>
        <v/>
      </c>
      <c r="S254">
        <f>COUNTIF($X$1:$X$9,R254) &gt; 0</f>
        <v/>
      </c>
      <c r="T254">
        <f>IF(AND(S254=FALSE,LEN(R254)&gt;2),4,IF(S254=TRUE,INDEX($Y$1:$Y$9,MATCH(R254,$X$1:$X$9,0)),""))</f>
        <v/>
      </c>
      <c r="U254">
        <f>IF(R254&lt;&gt;"",IF(Q259="",0,MATCH(TRUE,INDEX(Q259:$Q$1100="",0),0)-1),"")</f>
        <v/>
      </c>
      <c r="V254">
        <f>IF(AND(T254&lt;&gt;"",U254&lt;&gt;""),IF(U254-T254&lt;=0,"Falls Short",U254-T254),"")</f>
        <v/>
      </c>
      <c r="W254">
        <f>IF(AND(R254&lt;&gt;"",V254&lt;&gt;"Falls Short"),20*V254,"")</f>
        <v/>
      </c>
    </row>
    <row r="255" ht="21.8" customHeight="1" s="21">
      <c r="A255" s="44" t="n"/>
      <c r="B255" s="44" t="n"/>
      <c r="C255" s="44" t="n"/>
      <c r="D255" s="41" t="n"/>
      <c r="E255" s="41" t="n"/>
      <c r="F255" s="41" t="n"/>
      <c r="G255" s="44" t="n"/>
      <c r="H255" s="45" t="inlineStr">
        <is>
          <t>Month</t>
        </is>
      </c>
      <c r="I255" s="41" t="n"/>
      <c r="J255" s="45" t="inlineStr">
        <is>
          <t>Days</t>
        </is>
      </c>
      <c r="K255" s="41" t="n"/>
      <c r="L255" s="41" t="n"/>
      <c r="M255" s="45" t="inlineStr">
        <is>
          <t>Total</t>
        </is>
      </c>
      <c r="N255" s="41" t="n"/>
      <c r="O255" s="41" t="n"/>
      <c r="Q255">
        <f>LEFT(I255,9)</f>
        <v/>
      </c>
      <c r="R255">
        <f>TRIM(B255)</f>
        <v/>
      </c>
      <c r="S255">
        <f>COUNTIF($X$1:$X$9,R255) &gt; 0</f>
        <v/>
      </c>
      <c r="T255">
        <f>IF(AND(S255=FALSE,LEN(R255)&gt;2),4,IF(S255=TRUE,INDEX($Y$1:$Y$9,MATCH(R255,$X$1:$X$9,0)),""))</f>
        <v/>
      </c>
      <c r="U255">
        <f>IF(R255&lt;&gt;"",IF(Q260="",0,MATCH(TRUE,INDEX(Q260:$Q$1100="",0),0)-1),"")</f>
        <v/>
      </c>
      <c r="V255">
        <f>IF(AND(T255&lt;&gt;"",U255&lt;&gt;""),IF(U255-T255&lt;=0,"Falls Short",U255-T255),"")</f>
        <v/>
      </c>
      <c r="W255">
        <f>IF(AND(R255&lt;&gt;"",V255&lt;&gt;"Falls Short"),20*V255,"")</f>
        <v/>
      </c>
    </row>
    <row r="256" ht="15" customHeight="1" s="21">
      <c r="A256" s="46" t="inlineStr">
        <is>
          <t>Job Role X</t>
        </is>
      </c>
      <c r="B256" s="42" t="inlineStr">
        <is>
          <t>BGK</t>
        </is>
      </c>
      <c r="C256" s="42" t="inlineStr">
        <is>
          <t xml:space="preserve">   EPSILON FIVE</t>
        </is>
      </c>
      <c r="D256" s="41" t="n"/>
      <c r="E256" s="41" t="n"/>
      <c r="F256" s="41" t="n"/>
      <c r="G256" s="42" t="inlineStr">
        <is>
          <t xml:space="preserve">10047        </t>
        </is>
      </c>
      <c r="H256" s="47" t="n"/>
      <c r="I256" s="41" t="n"/>
      <c r="J256" s="47" t="n"/>
      <c r="K256" s="41" t="n"/>
      <c r="L256" s="41" t="n"/>
      <c r="M256" s="47" t="n"/>
      <c r="N256" s="41" t="n"/>
      <c r="O256" s="41" t="n"/>
      <c r="Q256">
        <f>LEFT(I256,9)</f>
        <v/>
      </c>
      <c r="R256">
        <f>TRIM(B256)</f>
        <v/>
      </c>
      <c r="S256">
        <f>COUNTIF($X$1:$X$9,R256) &gt; 0</f>
        <v/>
      </c>
      <c r="T256">
        <f>IF(AND(S256=FALSE,LEN(R256)&gt;2),4,IF(S256=TRUE,INDEX($Y$1:$Y$9,MATCH(R256,$X$1:$X$9,0)),""))</f>
        <v/>
      </c>
      <c r="U256">
        <f>IF(R256&lt;&gt;"",IF(Q261="",0,MATCH(TRUE,INDEX(Q261:$Q$1100="",0),0)-1),"")</f>
        <v/>
      </c>
      <c r="V256">
        <f>IF(AND(T256&lt;&gt;"",U256&lt;&gt;""),IF(U256-T256&lt;=0,"Falls Short",U256-T256),"")</f>
        <v/>
      </c>
      <c r="W256">
        <f>IF(AND(R256&lt;&gt;"",V256&lt;&gt;"Falls Short"),20*V256,"")</f>
        <v/>
      </c>
    </row>
    <row r="257" ht="15" customHeight="1" s="21">
      <c r="A257" s="42" t="n"/>
      <c r="B257" s="46" t="n"/>
      <c r="C257" s="46" t="n"/>
      <c r="D257" s="41" t="n"/>
      <c r="E257" s="41" t="n"/>
      <c r="F257" s="41" t="n"/>
      <c r="G257" s="46" t="n"/>
      <c r="H257" s="46" t="n"/>
      <c r="I257" s="41" t="n"/>
      <c r="J257" s="46" t="n"/>
      <c r="K257" s="41" t="n"/>
      <c r="L257" s="41" t="n"/>
      <c r="M257" s="48" t="inlineStr">
        <is>
          <t>2</t>
        </is>
      </c>
      <c r="N257" s="41" t="n"/>
      <c r="O257" s="41" t="n"/>
      <c r="Q257">
        <f>LEFT(I257,9)</f>
        <v/>
      </c>
      <c r="R257">
        <f>TRIM(B257)</f>
        <v/>
      </c>
      <c r="S257">
        <f>COUNTIF($X$1:$X$9,R257) &gt; 0</f>
        <v/>
      </c>
      <c r="T257">
        <f>IF(AND(S257=FALSE,LEN(R257)&gt;2),4,IF(S257=TRUE,INDEX($Y$1:$Y$9,MATCH(R257,$X$1:$X$9,0)),""))</f>
        <v/>
      </c>
      <c r="U257">
        <f>IF(R257&lt;&gt;"",IF(Q262="",0,MATCH(TRUE,INDEX(Q262:$Q$1100="",0),0)-1),"")</f>
        <v/>
      </c>
      <c r="V257">
        <f>IF(AND(T257&lt;&gt;"",U257&lt;&gt;""),IF(U257-T257&lt;=0,"Falls Short",U257-T257),"")</f>
        <v/>
      </c>
      <c r="W257">
        <f>IF(AND(R257&lt;&gt;"",V257&lt;&gt;"Falls Short"),20*V257,"")</f>
        <v/>
      </c>
    </row>
    <row r="258" ht="15" customHeight="1" s="21">
      <c r="A258" s="43" t="inlineStr">
        <is>
          <t xml:space="preserve"> </t>
        </is>
      </c>
      <c r="B258" s="41" t="n"/>
      <c r="C258" s="41" t="n"/>
      <c r="D258" s="41" t="n"/>
      <c r="E258" s="41" t="n"/>
      <c r="F258" s="41" t="n"/>
      <c r="G258" s="41" t="n"/>
      <c r="H258" s="41" t="n"/>
      <c r="I258" s="41" t="n"/>
      <c r="J258" s="41" t="n"/>
      <c r="K258" s="41" t="n"/>
      <c r="L258" s="41" t="n"/>
      <c r="M258" s="41" t="n"/>
      <c r="N258" s="41" t="n"/>
      <c r="O258" s="41" t="n"/>
      <c r="Q258">
        <f>LEFT(I258,9)</f>
        <v/>
      </c>
      <c r="R258">
        <f>TRIM(B258)</f>
        <v/>
      </c>
      <c r="S258">
        <f>COUNTIF($X$1:$X$9,R258) &gt; 0</f>
        <v/>
      </c>
      <c r="T258">
        <f>IF(AND(S258=FALSE,LEN(R258)&gt;2),4,IF(S258=TRUE,INDEX($Y$1:$Y$9,MATCH(R258,$X$1:$X$9,0)),""))</f>
        <v/>
      </c>
      <c r="U258">
        <f>IF(R258&lt;&gt;"",IF(Q263="",0,MATCH(TRUE,INDEX(Q263:$Q$1100="",0),0)-1),"")</f>
        <v/>
      </c>
      <c r="V258">
        <f>IF(AND(T258&lt;&gt;"",U258&lt;&gt;""),IF(U258-T258&lt;=0,"Falls Short",U258-T258),"")</f>
        <v/>
      </c>
      <c r="W258">
        <f>IF(AND(R258&lt;&gt;"",V258&lt;&gt;"Falls Short"),20*V258,"")</f>
        <v/>
      </c>
    </row>
    <row r="259" ht="15" customHeight="1" s="21">
      <c r="A259" s="46" t="n"/>
      <c r="B259" s="41" t="n"/>
      <c r="C259" s="41" t="n"/>
      <c r="D259" s="41" t="n"/>
      <c r="E259" s="46" t="n"/>
      <c r="F259" s="41" t="n"/>
      <c r="G259" s="41" t="n"/>
      <c r="H259" s="48" t="inlineStr">
        <is>
          <t>12 / 2025</t>
        </is>
      </c>
      <c r="I259" s="41" t="n"/>
      <c r="J259" s="48" t="inlineStr">
        <is>
          <t>2</t>
        </is>
      </c>
      <c r="K259" s="46" t="n"/>
      <c r="L259" s="41" t="n"/>
      <c r="M259" s="41" t="n"/>
      <c r="N259" s="41" t="n"/>
      <c r="O259" s="41" t="n"/>
      <c r="Q259">
        <f>LEFT(I259,9)</f>
        <v/>
      </c>
      <c r="R259">
        <f>TRIM(B259)</f>
        <v/>
      </c>
      <c r="S259">
        <f>COUNTIF($X$1:$X$9,R259) &gt; 0</f>
        <v/>
      </c>
      <c r="T259">
        <f>IF(AND(S259=FALSE,LEN(R259)&gt;2),4,IF(S259=TRUE,INDEX($Y$1:$Y$9,MATCH(R259,$X$1:$X$9,0)),""))</f>
        <v/>
      </c>
      <c r="U259">
        <f>IF(R259&lt;&gt;"",IF(Q264="",0,MATCH(TRUE,INDEX(Q264:$Q$1100="",0),0)-1),"")</f>
        <v/>
      </c>
      <c r="V259">
        <f>IF(AND(T259&lt;&gt;"",U259&lt;&gt;""),IF(U259-T259&lt;=0,"Falls Short",U259-T259),"")</f>
        <v/>
      </c>
      <c r="W259">
        <f>IF(AND(R259&lt;&gt;"",V259&lt;&gt;"Falls Short"),20*V259,"")</f>
        <v/>
      </c>
    </row>
    <row r="260" ht="15" customHeight="1" s="21">
      <c r="A260" s="43" t="inlineStr">
        <is>
          <t xml:space="preserve"> </t>
        </is>
      </c>
      <c r="B260" s="41" t="n"/>
      <c r="C260" s="41" t="n"/>
      <c r="D260" s="41" t="n"/>
      <c r="E260" s="41" t="n"/>
      <c r="F260" s="41" t="n"/>
      <c r="G260" s="41" t="n"/>
      <c r="H260" s="41" t="n"/>
      <c r="I260" s="41" t="n"/>
      <c r="J260" s="41" t="n"/>
      <c r="K260" s="41" t="n"/>
      <c r="L260" s="41" t="n"/>
      <c r="M260" s="41" t="n"/>
      <c r="N260" s="41" t="n"/>
      <c r="O260" s="41" t="n"/>
      <c r="Q260">
        <f>LEFT(I260,9)</f>
        <v/>
      </c>
      <c r="R260">
        <f>TRIM(B260)</f>
        <v/>
      </c>
      <c r="S260">
        <f>COUNTIF($X$1:$X$9,R260) &gt; 0</f>
        <v/>
      </c>
      <c r="T260">
        <f>IF(AND(S260=FALSE,LEN(R260)&gt;2),4,IF(S260=TRUE,INDEX($Y$1:$Y$9,MATCH(R260,$X$1:$X$9,0)),""))</f>
        <v/>
      </c>
      <c r="U260">
        <f>IF(R260&lt;&gt;"",IF(Q265="",0,MATCH(TRUE,INDEX(Q265:$Q$1100="",0),0)-1),"")</f>
        <v/>
      </c>
      <c r="V260">
        <f>IF(AND(T260&lt;&gt;"",U260&lt;&gt;""),IF(U260-T260&lt;=0,"Falls Short",U260-T260),"")</f>
        <v/>
      </c>
      <c r="W260">
        <f>IF(AND(R260&lt;&gt;"",V260&lt;&gt;"Falls Short"),20*V260,"")</f>
        <v/>
      </c>
    </row>
    <row r="261" ht="15" customHeight="1" s="21">
      <c r="A261" s="48" t="inlineStr">
        <is>
          <t xml:space="preserve"> </t>
        </is>
      </c>
      <c r="B261" s="41" t="n"/>
      <c r="C261" s="41" t="n"/>
      <c r="D261" s="46" t="n"/>
      <c r="E261" s="41" t="n"/>
      <c r="F261" s="41" t="n"/>
      <c r="G261" s="41" t="n"/>
      <c r="H261" s="41" t="n"/>
      <c r="I261" s="48" t="inlineStr">
        <is>
          <t>02-DEC-25</t>
        </is>
      </c>
      <c r="J261" s="41" t="n"/>
      <c r="K261" s="48" t="inlineStr">
        <is>
          <t>Training D</t>
        </is>
      </c>
      <c r="L261" s="41" t="n"/>
      <c r="M261" s="48" t="inlineStr">
        <is>
          <t xml:space="preserve">CDI </t>
        </is>
      </c>
      <c r="N261" s="41" t="n"/>
      <c r="O261" s="41" t="n"/>
      <c r="Q261">
        <f>LEFT(I261,9)</f>
        <v/>
      </c>
      <c r="R261">
        <f>TRIM(B261)</f>
        <v/>
      </c>
      <c r="S261">
        <f>COUNTIF($X$1:$X$9,R261) &gt; 0</f>
        <v/>
      </c>
      <c r="T261">
        <f>IF(AND(S261=FALSE,LEN(R261)&gt;2),4,IF(S261=TRUE,INDEX($Y$1:$Y$9,MATCH(R261,$X$1:$X$9,0)),""))</f>
        <v/>
      </c>
      <c r="U261">
        <f>IF(R261&lt;&gt;"",IF(Q266="",0,MATCH(TRUE,INDEX(Q266:$Q$1100="",0),0)-1),"")</f>
        <v/>
      </c>
      <c r="V261">
        <f>IF(AND(T261&lt;&gt;"",U261&lt;&gt;""),IF(U261-T261&lt;=0,"Falls Short",U261-T261),"")</f>
        <v/>
      </c>
      <c r="W261">
        <f>IF(AND(R261&lt;&gt;"",V261&lt;&gt;"Falls Short"),20*V261,"")</f>
        <v/>
      </c>
    </row>
    <row r="262" ht="15" customHeight="1" s="21">
      <c r="A262" s="48" t="inlineStr">
        <is>
          <t xml:space="preserve"> </t>
        </is>
      </c>
      <c r="B262" s="41" t="n"/>
      <c r="C262" s="41" t="n"/>
      <c r="D262" s="46" t="n"/>
      <c r="E262" s="41" t="n"/>
      <c r="F262" s="41" t="n"/>
      <c r="G262" s="41" t="n"/>
      <c r="H262" s="41" t="n"/>
      <c r="I262" s="48" t="inlineStr">
        <is>
          <t>03-DEC-25</t>
        </is>
      </c>
      <c r="J262" s="41" t="n"/>
      <c r="K262" s="48" t="inlineStr">
        <is>
          <t>Training D</t>
        </is>
      </c>
      <c r="L262" s="41" t="n"/>
      <c r="M262" s="48" t="inlineStr">
        <is>
          <t xml:space="preserve">CDI </t>
        </is>
      </c>
      <c r="N262" s="41" t="n"/>
      <c r="O262" s="41" t="n"/>
      <c r="Q262">
        <f>LEFT(I262,9)</f>
        <v/>
      </c>
      <c r="R262">
        <f>TRIM(B262)</f>
        <v/>
      </c>
      <c r="S262">
        <f>COUNTIF($X$1:$X$9,R262) &gt; 0</f>
        <v/>
      </c>
      <c r="T262">
        <f>IF(AND(S262=FALSE,LEN(R262)&gt;2),4,IF(S262=TRUE,INDEX($Y$1:$Y$9,MATCH(R262,$X$1:$X$9,0)),""))</f>
        <v/>
      </c>
      <c r="U262">
        <f>IF(R262&lt;&gt;"",IF(Q267="",0,MATCH(TRUE,INDEX(Q267:$Q$1100="",0),0)-1),"")</f>
        <v/>
      </c>
      <c r="V262">
        <f>IF(AND(T262&lt;&gt;"",U262&lt;&gt;""),IF(U262-T262&lt;=0,"Falls Short",U262-T262),"")</f>
        <v/>
      </c>
      <c r="W262">
        <f>IF(AND(R262&lt;&gt;"",V262&lt;&gt;"Falls Short"),20*V262,"")</f>
        <v/>
      </c>
    </row>
    <row r="263" ht="15" customHeight="1" s="21">
      <c r="A263" s="49" t="inlineStr">
        <is>
          <t xml:space="preserve"> </t>
        </is>
      </c>
      <c r="B263" s="41" t="n"/>
      <c r="C263" s="41" t="n"/>
      <c r="D263" s="41" t="n"/>
      <c r="E263" s="41" t="n"/>
      <c r="F263" s="41" t="n"/>
      <c r="G263" s="41" t="n"/>
      <c r="H263" s="41" t="n"/>
      <c r="I263" s="41" t="n"/>
      <c r="J263" s="41" t="n"/>
      <c r="K263" s="41" t="n"/>
      <c r="L263" s="41" t="n"/>
      <c r="M263" s="41" t="n"/>
      <c r="N263" s="41" t="n"/>
      <c r="O263" s="41" t="n"/>
      <c r="Q263">
        <f>LEFT(I263,9)</f>
        <v/>
      </c>
      <c r="R263">
        <f>TRIM(B263)</f>
        <v/>
      </c>
      <c r="S263">
        <f>COUNTIF($X$1:$X$9,R263) &gt; 0</f>
        <v/>
      </c>
      <c r="T263">
        <f>IF(AND(S263=FALSE,LEN(R263)&gt;2),4,IF(S263=TRUE,INDEX($Y$1:$Y$9,MATCH(R263,$X$1:$X$9,0)),""))</f>
        <v/>
      </c>
      <c r="U263">
        <f>IF(R263&lt;&gt;"",IF(Q268="",0,MATCH(TRUE,INDEX(Q268:$Q$1100="",0),0)-1),"")</f>
        <v/>
      </c>
      <c r="V263">
        <f>IF(AND(T263&lt;&gt;"",U263&lt;&gt;""),IF(U263-T263&lt;=0,"Falls Short",U263-T263),"")</f>
        <v/>
      </c>
      <c r="W263">
        <f>IF(AND(R263&lt;&gt;"",V263&lt;&gt;"Falls Short"),20*V263,"")</f>
        <v/>
      </c>
    </row>
    <row r="264" ht="15" customHeight="1" s="21">
      <c r="A264" s="49" t="inlineStr">
        <is>
          <t xml:space="preserve"> </t>
        </is>
      </c>
      <c r="B264" s="41" t="n"/>
      <c r="C264" s="41" t="n"/>
      <c r="D264" s="41" t="n"/>
      <c r="E264" s="41" t="n"/>
      <c r="F264" s="41" t="n"/>
      <c r="G264" s="41" t="n"/>
      <c r="H264" s="41" t="n"/>
      <c r="I264" s="41" t="n"/>
      <c r="J264" s="41" t="n"/>
      <c r="K264" s="41" t="n"/>
      <c r="L264" s="41" t="n"/>
      <c r="M264" s="41" t="n"/>
      <c r="N264" s="41" t="n"/>
      <c r="O264" s="41" t="n"/>
      <c r="Q264">
        <f>LEFT(I264,9)</f>
        <v/>
      </c>
      <c r="R264">
        <f>TRIM(B264)</f>
        <v/>
      </c>
      <c r="S264">
        <f>COUNTIF($X$1:$X$9,R264) &gt; 0</f>
        <v/>
      </c>
      <c r="T264">
        <f>IF(AND(S264=FALSE,LEN(R264)&gt;2),4,IF(S264=TRUE,INDEX($Y$1:$Y$9,MATCH(R264,$X$1:$X$9,0)),""))</f>
        <v/>
      </c>
      <c r="U264">
        <f>IF(R264&lt;&gt;"",IF(Q269="",0,MATCH(TRUE,INDEX(Q269:$Q$1100="",0),0)-1),"")</f>
        <v/>
      </c>
      <c r="V264">
        <f>IF(AND(T264&lt;&gt;"",U264&lt;&gt;""),IF(U264-T264&lt;=0,"Falls Short",U264-T264),"")</f>
        <v/>
      </c>
      <c r="W264">
        <f>IF(AND(R264&lt;&gt;"",V264&lt;&gt;"Falls Short"),20*V264,"")</f>
        <v/>
      </c>
    </row>
    <row r="265" ht="15" customHeight="1" s="21">
      <c r="Q265">
        <f>LEFT(I265,9)</f>
        <v/>
      </c>
      <c r="R265">
        <f>TRIM(B265)</f>
        <v/>
      </c>
      <c r="S265">
        <f>COUNTIF($X$1:$X$9,R265) &gt; 0</f>
        <v/>
      </c>
      <c r="T265">
        <f>IF(AND(S265=FALSE,LEN(R265)&gt;2),4,IF(S265=TRUE,INDEX($Y$1:$Y$9,MATCH(R265,$X$1:$X$9,0)),""))</f>
        <v/>
      </c>
      <c r="U265">
        <f>IF(R265&lt;&gt;"",IF(Q270="",0,MATCH(TRUE,INDEX(Q270:$Q$1100="",0),0)-1),"")</f>
        <v/>
      </c>
      <c r="V265">
        <f>IF(AND(T265&lt;&gt;"",U265&lt;&gt;""),IF(U265-T265&lt;=0,"Falls Short",U265-T265),"")</f>
        <v/>
      </c>
      <c r="W265">
        <f>IF(AND(R265&lt;&gt;"",V265&lt;&gt;"Falls Short"),20*V265,"")</f>
        <v/>
      </c>
    </row>
    <row r="266" ht="15" customHeight="1" s="21">
      <c r="Q266">
        <f>LEFT(I266,9)</f>
        <v/>
      </c>
      <c r="R266">
        <f>TRIM(B266)</f>
        <v/>
      </c>
      <c r="S266">
        <f>COUNTIF($X$1:$X$9,R266) &gt; 0</f>
        <v/>
      </c>
      <c r="T266">
        <f>IF(AND(S266=FALSE,LEN(R266)&gt;2),4,IF(S266=TRUE,INDEX($Y$1:$Y$9,MATCH(R266,$X$1:$X$9,0)),""))</f>
        <v/>
      </c>
      <c r="U266">
        <f>IF(R266&lt;&gt;"",IF(Q271="",0,MATCH(TRUE,INDEX(Q271:$Q$1100="",0),0)-1),"")</f>
        <v/>
      </c>
      <c r="V266">
        <f>IF(AND(T266&lt;&gt;"",U266&lt;&gt;""),IF(U266-T266&lt;=0,"Falls Short",U266-T266),"")</f>
        <v/>
      </c>
      <c r="W266">
        <f>IF(AND(R266&lt;&gt;"",V266&lt;&gt;"Falls Short"),20*V266,"")</f>
        <v/>
      </c>
    </row>
    <row r="267" ht="15" customHeight="1" s="21">
      <c r="Q267">
        <f>LEFT(I267,9)</f>
        <v/>
      </c>
      <c r="R267">
        <f>TRIM(B267)</f>
        <v/>
      </c>
      <c r="S267">
        <f>COUNTIF($X$1:$X$9,R267) &gt; 0</f>
        <v/>
      </c>
      <c r="T267">
        <f>IF(AND(S267=FALSE,LEN(R267)&gt;2),4,IF(S267=TRUE,INDEX($Y$1:$Y$9,MATCH(R267,$X$1:$X$9,0)),""))</f>
        <v/>
      </c>
      <c r="U267">
        <f>IF(R267&lt;&gt;"",IF(Q272="",0,MATCH(TRUE,INDEX(Q272:$Q$1100="",0),0)-1),"")</f>
        <v/>
      </c>
      <c r="V267">
        <f>IF(AND(T267&lt;&gt;"",U267&lt;&gt;""),IF(U267-T267&lt;=0,"Falls Short",U267-T267),"")</f>
        <v/>
      </c>
      <c r="W267">
        <f>IF(AND(R267&lt;&gt;"",V267&lt;&gt;"Falls Short"),20*V267,"")</f>
        <v/>
      </c>
    </row>
    <row r="268" ht="15" customHeight="1" s="21">
      <c r="Q268">
        <f>LEFT(I268,9)</f>
        <v/>
      </c>
      <c r="R268">
        <f>TRIM(B268)</f>
        <v/>
      </c>
      <c r="S268">
        <f>COUNTIF($X$1:$X$9,R268) &gt; 0</f>
        <v/>
      </c>
      <c r="T268">
        <f>IF(AND(S268=FALSE,LEN(R268)&gt;2),4,IF(S268=TRUE,INDEX($Y$1:$Y$9,MATCH(R268,$X$1:$X$9,0)),""))</f>
        <v/>
      </c>
      <c r="U268">
        <f>IF(R268&lt;&gt;"",IF(Q273="",0,MATCH(TRUE,INDEX(Q273:$Q$1100="",0),0)-1),"")</f>
        <v/>
      </c>
      <c r="V268">
        <f>IF(AND(T268&lt;&gt;"",U268&lt;&gt;""),IF(U268-T268&lt;=0,"Falls Short",U268-T268),"")</f>
        <v/>
      </c>
      <c r="W268">
        <f>IF(AND(R268&lt;&gt;"",V268&lt;&gt;"Falls Short"),20*V268,"")</f>
        <v/>
      </c>
    </row>
    <row r="269" ht="15" customHeight="1" s="21">
      <c r="Q269">
        <f>LEFT(I269,9)</f>
        <v/>
      </c>
      <c r="R269">
        <f>TRIM(B269)</f>
        <v/>
      </c>
      <c r="S269">
        <f>COUNTIF($X$1:$X$9,R269) &gt; 0</f>
        <v/>
      </c>
      <c r="T269">
        <f>IF(AND(S269=FALSE,LEN(R269)&gt;2),4,IF(S269=TRUE,INDEX($Y$1:$Y$9,MATCH(R269,$X$1:$X$9,0)),""))</f>
        <v/>
      </c>
      <c r="U269">
        <f>IF(R269&lt;&gt;"",IF(Q274="",0,MATCH(TRUE,INDEX(Q274:$Q$1100="",0),0)-1),"")</f>
        <v/>
      </c>
      <c r="V269">
        <f>IF(AND(T269&lt;&gt;"",U269&lt;&gt;""),IF(U269-T269&lt;=0,"Falls Short",U269-T269),"")</f>
        <v/>
      </c>
      <c r="W269">
        <f>IF(AND(R269&lt;&gt;"",V269&lt;&gt;"Falls Short"),20*V269,"")</f>
        <v/>
      </c>
    </row>
    <row r="270" ht="21.8" customHeight="1" s="21">
      <c r="Q270">
        <f>LEFT(I270,9)</f>
        <v/>
      </c>
      <c r="R270">
        <f>TRIM(B270)</f>
        <v/>
      </c>
      <c r="S270">
        <f>COUNTIF($X$1:$X$9,R270) &gt; 0</f>
        <v/>
      </c>
      <c r="T270">
        <f>IF(AND(S270=FALSE,LEN(R270)&gt;2),4,IF(S270=TRUE,INDEX($Y$1:$Y$9,MATCH(R270,$X$1:$X$9,0)),""))</f>
        <v/>
      </c>
      <c r="U270">
        <f>IF(R270&lt;&gt;"",IF(Q275="",0,MATCH(TRUE,INDEX(Q275:$Q$1100="",0),0)-1),"")</f>
        <v/>
      </c>
      <c r="V270">
        <f>IF(AND(T270&lt;&gt;"",U270&lt;&gt;""),IF(U270-T270&lt;=0,"Falls Short",U270-T270),"")</f>
        <v/>
      </c>
      <c r="W270">
        <f>IF(AND(R270&lt;&gt;"",V270&lt;&gt;"Falls Short"),20*V270,"")</f>
        <v/>
      </c>
    </row>
    <row r="271" ht="15" customHeight="1" s="21">
      <c r="Q271">
        <f>LEFT(I271,9)</f>
        <v/>
      </c>
      <c r="R271">
        <f>TRIM(B271)</f>
        <v/>
      </c>
      <c r="S271">
        <f>COUNTIF($X$1:$X$9,R271) &gt; 0</f>
        <v/>
      </c>
      <c r="T271">
        <f>IF(AND(S271=FALSE,LEN(R271)&gt;2),4,IF(S271=TRUE,INDEX($Y$1:$Y$9,MATCH(R271,$X$1:$X$9,0)),""))</f>
        <v/>
      </c>
      <c r="U271">
        <f>IF(R271&lt;&gt;"",IF(Q276="",0,MATCH(TRUE,INDEX(Q276:$Q$1100="",0),0)-1),"")</f>
        <v/>
      </c>
      <c r="V271">
        <f>IF(AND(T271&lt;&gt;"",U271&lt;&gt;""),IF(U271-T271&lt;=0,"Falls Short",U271-T271),"")</f>
        <v/>
      </c>
      <c r="W271">
        <f>IF(AND(R271&lt;&gt;"",V271&lt;&gt;"Falls Short"),20*V271,"")</f>
        <v/>
      </c>
    </row>
    <row r="272" ht="15" customHeight="1" s="21">
      <c r="Q272">
        <f>LEFT(I272,9)</f>
        <v/>
      </c>
      <c r="R272">
        <f>TRIM(B272)</f>
        <v/>
      </c>
      <c r="S272">
        <f>COUNTIF($X$1:$X$9,R272) &gt; 0</f>
        <v/>
      </c>
      <c r="T272">
        <f>IF(AND(S272=FALSE,LEN(R272)&gt;2),4,IF(S272=TRUE,INDEX($Y$1:$Y$9,MATCH(R272,$X$1:$X$9,0)),""))</f>
        <v/>
      </c>
      <c r="U272">
        <f>IF(R272&lt;&gt;"",IF(Q277="",0,MATCH(TRUE,INDEX(Q277:$Q$1100="",0),0)-1),"")</f>
        <v/>
      </c>
      <c r="V272">
        <f>IF(AND(T272&lt;&gt;"",U272&lt;&gt;""),IF(U272-T272&lt;=0,"Falls Short",U272-T272),"")</f>
        <v/>
      </c>
      <c r="W272">
        <f>IF(AND(R272&lt;&gt;"",V272&lt;&gt;"Falls Short"),20*V272,"")</f>
        <v/>
      </c>
    </row>
    <row r="273" ht="15" customHeight="1" s="21">
      <c r="Q273">
        <f>LEFT(I273,9)</f>
        <v/>
      </c>
      <c r="R273">
        <f>TRIM(B273)</f>
        <v/>
      </c>
      <c r="S273">
        <f>COUNTIF($X$1:$X$9,R273) &gt; 0</f>
        <v/>
      </c>
      <c r="T273">
        <f>IF(AND(S273=FALSE,LEN(R273)&gt;2),4,IF(S273=TRUE,INDEX($Y$1:$Y$9,MATCH(R273,$X$1:$X$9,0)),""))</f>
        <v/>
      </c>
      <c r="U273">
        <f>IF(R273&lt;&gt;"",IF(Q278="",0,MATCH(TRUE,INDEX(Q278:$Q$1100="",0),0)-1),"")</f>
        <v/>
      </c>
      <c r="V273">
        <f>IF(AND(T273&lt;&gt;"",U273&lt;&gt;""),IF(U273-T273&lt;=0,"Falls Short",U273-T273),"")</f>
        <v/>
      </c>
      <c r="W273">
        <f>IF(AND(R273&lt;&gt;"",V273&lt;&gt;"Falls Short"),20*V273,"")</f>
        <v/>
      </c>
    </row>
    <row r="274" ht="15" customHeight="1" s="21">
      <c r="Q274">
        <f>LEFT(I274,9)</f>
        <v/>
      </c>
      <c r="R274">
        <f>TRIM(B274)</f>
        <v/>
      </c>
      <c r="S274">
        <f>COUNTIF($X$1:$X$9,R274) &gt; 0</f>
        <v/>
      </c>
      <c r="T274">
        <f>IF(AND(S274=FALSE,LEN(R274)&gt;2),4,IF(S274=TRUE,INDEX($Y$1:$Y$9,MATCH(R274,$X$1:$X$9,0)),""))</f>
        <v/>
      </c>
      <c r="U274">
        <f>IF(R274&lt;&gt;"",IF(Q279="",0,MATCH(TRUE,INDEX(Q279:$Q$1100="",0),0)-1),"")</f>
        <v/>
      </c>
      <c r="V274">
        <f>IF(AND(T274&lt;&gt;"",U274&lt;&gt;""),IF(U274-T274&lt;=0,"Falls Short",U274-T274),"")</f>
        <v/>
      </c>
      <c r="W274">
        <f>IF(AND(R274&lt;&gt;"",V274&lt;&gt;"Falls Short"),20*V274,"")</f>
        <v/>
      </c>
    </row>
    <row r="275" ht="15" customHeight="1" s="21">
      <c r="Q275">
        <f>LEFT(I275,9)</f>
        <v/>
      </c>
      <c r="R275">
        <f>TRIM(B275)</f>
        <v/>
      </c>
      <c r="S275">
        <f>COUNTIF($X$1:$X$9,R275) &gt; 0</f>
        <v/>
      </c>
      <c r="T275">
        <f>IF(AND(S275=FALSE,LEN(R275)&gt;2),4,IF(S275=TRUE,INDEX($Y$1:$Y$9,MATCH(R275,$X$1:$X$9,0)),""))</f>
        <v/>
      </c>
      <c r="U275">
        <f>IF(R275&lt;&gt;"",IF(Q280="",0,MATCH(TRUE,INDEX(Q280:$Q$1100="",0),0)-1),"")</f>
        <v/>
      </c>
      <c r="V275">
        <f>IF(AND(T275&lt;&gt;"",U275&lt;&gt;""),IF(U275-T275&lt;=0,"Falls Short",U275-T275),"")</f>
        <v/>
      </c>
      <c r="W275">
        <f>IF(AND(R275&lt;&gt;"",V275&lt;&gt;"Falls Short"),20*V275,"")</f>
        <v/>
      </c>
    </row>
    <row r="276" ht="15" customHeight="1" s="21">
      <c r="Q276">
        <f>LEFT(I276,9)</f>
        <v/>
      </c>
      <c r="R276">
        <f>TRIM(B276)</f>
        <v/>
      </c>
      <c r="S276">
        <f>COUNTIF($X$1:$X$9,R276) &gt; 0</f>
        <v/>
      </c>
      <c r="T276">
        <f>IF(AND(S276=FALSE,LEN(R276)&gt;2),4,IF(S276=TRUE,INDEX($Y$1:$Y$9,MATCH(R276,$X$1:$X$9,0)),""))</f>
        <v/>
      </c>
      <c r="U276">
        <f>IF(R276&lt;&gt;"",IF(Q281="",0,MATCH(TRUE,INDEX(Q281:$Q$1100="",0),0)-1),"")</f>
        <v/>
      </c>
      <c r="V276">
        <f>IF(AND(T276&lt;&gt;"",U276&lt;&gt;""),IF(U276-T276&lt;=0,"Falls Short",U276-T276),"")</f>
        <v/>
      </c>
      <c r="W276">
        <f>IF(AND(R276&lt;&gt;"",V276&lt;&gt;"Falls Short"),20*V276,"")</f>
        <v/>
      </c>
    </row>
    <row r="277" ht="15" customHeight="1" s="21">
      <c r="Q277">
        <f>LEFT(I277,9)</f>
        <v/>
      </c>
      <c r="R277">
        <f>TRIM(B277)</f>
        <v/>
      </c>
      <c r="S277">
        <f>COUNTIF($X$1:$X$9,R277) &gt; 0</f>
        <v/>
      </c>
      <c r="T277">
        <f>IF(AND(S277=FALSE,LEN(R277)&gt;2),4,IF(S277=TRUE,INDEX($Y$1:$Y$9,MATCH(R277,$X$1:$X$9,0)),""))</f>
        <v/>
      </c>
      <c r="U277">
        <f>IF(R277&lt;&gt;"",IF(Q282="",0,MATCH(TRUE,INDEX(Q282:$Q$1100="",0),0)-1),"")</f>
        <v/>
      </c>
      <c r="V277">
        <f>IF(AND(T277&lt;&gt;"",U277&lt;&gt;""),IF(U277-T277&lt;=0,"Falls Short",U277-T277),"")</f>
        <v/>
      </c>
      <c r="W277">
        <f>IF(AND(R277&lt;&gt;"",V277&lt;&gt;"Falls Short"),20*V277,"")</f>
        <v/>
      </c>
    </row>
    <row r="278" ht="15" customHeight="1" s="21">
      <c r="Q278">
        <f>LEFT(I278,9)</f>
        <v/>
      </c>
      <c r="R278">
        <f>TRIM(B278)</f>
        <v/>
      </c>
      <c r="S278">
        <f>COUNTIF($X$1:$X$9,R278) &gt; 0</f>
        <v/>
      </c>
      <c r="T278">
        <f>IF(AND(S278=FALSE,LEN(R278)&gt;2),4,IF(S278=TRUE,INDEX($Y$1:$Y$9,MATCH(R278,$X$1:$X$9,0)),""))</f>
        <v/>
      </c>
      <c r="U278">
        <f>IF(R278&lt;&gt;"",IF(Q283="",0,MATCH(TRUE,INDEX(Q283:$Q$1100="",0),0)-1),"")</f>
        <v/>
      </c>
      <c r="V278">
        <f>IF(AND(T278&lt;&gt;"",U278&lt;&gt;""),IF(U278-T278&lt;=0,"Falls Short",U278-T278),"")</f>
        <v/>
      </c>
      <c r="W278">
        <f>IF(AND(R278&lt;&gt;"",V278&lt;&gt;"Falls Short"),20*V278,"")</f>
        <v/>
      </c>
    </row>
    <row r="279" ht="15" customHeight="1" s="21">
      <c r="Q279">
        <f>LEFT(I279,9)</f>
        <v/>
      </c>
      <c r="R279">
        <f>TRIM(B279)</f>
        <v/>
      </c>
      <c r="S279">
        <f>COUNTIF($X$1:$X$9,R279) &gt; 0</f>
        <v/>
      </c>
      <c r="T279">
        <f>IF(AND(S279=FALSE,LEN(R279)&gt;2),4,IF(S279=TRUE,INDEX($Y$1:$Y$9,MATCH(R279,$X$1:$X$9,0)),""))</f>
        <v/>
      </c>
      <c r="U279">
        <f>IF(R279&lt;&gt;"",IF(Q284="",0,MATCH(TRUE,INDEX(Q284:$Q$1100="",0),0)-1),"")</f>
        <v/>
      </c>
      <c r="V279">
        <f>IF(AND(T279&lt;&gt;"",U279&lt;&gt;""),IF(U279-T279&lt;=0,"Falls Short",U279-T279),"")</f>
        <v/>
      </c>
      <c r="W279">
        <f>IF(AND(R279&lt;&gt;"",V279&lt;&gt;"Falls Short"),20*V279,"")</f>
        <v/>
      </c>
    </row>
    <row r="280" ht="21.8" customHeight="1" s="21">
      <c r="Q280">
        <f>LEFT(I280,9)</f>
        <v/>
      </c>
      <c r="R280">
        <f>TRIM(B280)</f>
        <v/>
      </c>
      <c r="S280">
        <f>COUNTIF($X$1:$X$9,R280) &gt; 0</f>
        <v/>
      </c>
      <c r="T280">
        <f>IF(AND(S280=FALSE,LEN(R280)&gt;2),4,IF(S280=TRUE,INDEX($Y$1:$Y$9,MATCH(R280,$X$1:$X$9,0)),""))</f>
        <v/>
      </c>
      <c r="U280">
        <f>IF(R280&lt;&gt;"",IF(Q285="",0,MATCH(TRUE,INDEX(Q285:$Q$1100="",0),0)-1),"")</f>
        <v/>
      </c>
      <c r="V280">
        <f>IF(AND(T280&lt;&gt;"",U280&lt;&gt;""),IF(U280-T280&lt;=0,"Falls Short",U280-T280),"")</f>
        <v/>
      </c>
      <c r="W280">
        <f>IF(AND(R280&lt;&gt;"",V280&lt;&gt;"Falls Short"),20*V280,"")</f>
        <v/>
      </c>
    </row>
    <row r="281" ht="15" customHeight="1" s="21">
      <c r="Q281">
        <f>LEFT(I281,9)</f>
        <v/>
      </c>
      <c r="R281">
        <f>TRIM(B281)</f>
        <v/>
      </c>
      <c r="S281">
        <f>COUNTIF($X$1:$X$9,R281) &gt; 0</f>
        <v/>
      </c>
      <c r="T281">
        <f>IF(AND(S281=FALSE,LEN(R281)&gt;2),4,IF(S281=TRUE,INDEX($Y$1:$Y$9,MATCH(R281,$X$1:$X$9,0)),""))</f>
        <v/>
      </c>
      <c r="U281">
        <f>IF(R281&lt;&gt;"",IF(Q286="",0,MATCH(TRUE,INDEX(Q286:$Q$1100="",0),0)-1),"")</f>
        <v/>
      </c>
      <c r="V281">
        <f>IF(AND(T281&lt;&gt;"",U281&lt;&gt;""),IF(U281-T281&lt;=0,"Falls Short",U281-T281),"")</f>
        <v/>
      </c>
      <c r="W281">
        <f>IF(AND(R281&lt;&gt;"",V281&lt;&gt;"Falls Short"),20*V281,"")</f>
        <v/>
      </c>
    </row>
    <row r="282" ht="15" customHeight="1" s="21">
      <c r="Q282">
        <f>LEFT(I282,9)</f>
        <v/>
      </c>
      <c r="R282">
        <f>TRIM(B282)</f>
        <v/>
      </c>
      <c r="S282">
        <f>COUNTIF($X$1:$X$9,R282) &gt; 0</f>
        <v/>
      </c>
      <c r="T282">
        <f>IF(AND(S282=FALSE,LEN(R282)&gt;2),4,IF(S282=TRUE,INDEX($Y$1:$Y$9,MATCH(R282,$X$1:$X$9,0)),""))</f>
        <v/>
      </c>
      <c r="U282">
        <f>IF(R282&lt;&gt;"",IF(Q287="",0,MATCH(TRUE,INDEX(Q287:$Q$1100="",0),0)-1),"")</f>
        <v/>
      </c>
      <c r="V282">
        <f>IF(AND(T282&lt;&gt;"",U282&lt;&gt;""),IF(U282-T282&lt;=0,"Falls Short",U282-T282),"")</f>
        <v/>
      </c>
      <c r="W282">
        <f>IF(AND(R282&lt;&gt;"",V282&lt;&gt;"Falls Short"),20*V282,"")</f>
        <v/>
      </c>
    </row>
    <row r="283" ht="15" customHeight="1" s="21">
      <c r="Q283">
        <f>LEFT(I283,9)</f>
        <v/>
      </c>
      <c r="R283">
        <f>TRIM(B283)</f>
        <v/>
      </c>
      <c r="S283">
        <f>COUNTIF($X$1:$X$9,R283) &gt; 0</f>
        <v/>
      </c>
      <c r="T283">
        <f>IF(AND(S283=FALSE,LEN(R283)&gt;2),4,IF(S283=TRUE,INDEX($Y$1:$Y$9,MATCH(R283,$X$1:$X$9,0)),""))</f>
        <v/>
      </c>
      <c r="U283">
        <f>IF(R283&lt;&gt;"",IF(Q288="",0,MATCH(TRUE,INDEX(Q288:$Q$1100="",0),0)-1),"")</f>
        <v/>
      </c>
      <c r="V283">
        <f>IF(AND(T283&lt;&gt;"",U283&lt;&gt;""),IF(U283-T283&lt;=0,"Falls Short",U283-T283),"")</f>
        <v/>
      </c>
      <c r="W283">
        <f>IF(AND(R283&lt;&gt;"",V283&lt;&gt;"Falls Short"),20*V283,"")</f>
        <v/>
      </c>
    </row>
    <row r="284" ht="15" customHeight="1" s="21">
      <c r="Q284">
        <f>LEFT(I284,9)</f>
        <v/>
      </c>
      <c r="R284">
        <f>TRIM(B284)</f>
        <v/>
      </c>
      <c r="S284">
        <f>COUNTIF($X$1:$X$9,R284) &gt; 0</f>
        <v/>
      </c>
      <c r="T284">
        <f>IF(AND(S284=FALSE,LEN(R284)&gt;2),4,IF(S284=TRUE,INDEX($Y$1:$Y$9,MATCH(R284,$X$1:$X$9,0)),""))</f>
        <v/>
      </c>
      <c r="U284">
        <f>IF(R284&lt;&gt;"",IF(Q289="",0,MATCH(TRUE,INDEX(Q289:$Q$1100="",0),0)-1),"")</f>
        <v/>
      </c>
      <c r="V284">
        <f>IF(AND(T284&lt;&gt;"",U284&lt;&gt;""),IF(U284-T284&lt;=0,"Falls Short",U284-T284),"")</f>
        <v/>
      </c>
      <c r="W284">
        <f>IF(AND(R284&lt;&gt;"",V284&lt;&gt;"Falls Short"),20*V284,"")</f>
        <v/>
      </c>
    </row>
    <row r="285" ht="15" customHeight="1" s="21">
      <c r="Q285">
        <f>LEFT(I285,9)</f>
        <v/>
      </c>
      <c r="R285">
        <f>TRIM(B285)</f>
        <v/>
      </c>
      <c r="S285">
        <f>COUNTIF($X$1:$X$9,R285) &gt; 0</f>
        <v/>
      </c>
      <c r="T285">
        <f>IF(AND(S285=FALSE,LEN(R285)&gt;2),4,IF(S285=TRUE,INDEX($Y$1:$Y$9,MATCH(R285,$X$1:$X$9,0)),""))</f>
        <v/>
      </c>
      <c r="U285">
        <f>IF(R285&lt;&gt;"",IF(Q290="",0,MATCH(TRUE,INDEX(Q290:$Q$1100="",0),0)-1),"")</f>
        <v/>
      </c>
      <c r="V285">
        <f>IF(AND(T285&lt;&gt;"",U285&lt;&gt;""),IF(U285-T285&lt;=0,"Falls Short",U285-T285),"")</f>
        <v/>
      </c>
      <c r="W285">
        <f>IF(AND(R285&lt;&gt;"",V285&lt;&gt;"Falls Short"),20*V285,"")</f>
        <v/>
      </c>
    </row>
    <row r="286" ht="15" customHeight="1" s="21">
      <c r="Q286">
        <f>LEFT(I286,9)</f>
        <v/>
      </c>
      <c r="R286">
        <f>TRIM(B286)</f>
        <v/>
      </c>
      <c r="S286">
        <f>COUNTIF($X$1:$X$9,R286) &gt; 0</f>
        <v/>
      </c>
      <c r="T286">
        <f>IF(AND(S286=FALSE,LEN(R286)&gt;2),4,IF(S286=TRUE,INDEX($Y$1:$Y$9,MATCH(R286,$X$1:$X$9,0)),""))</f>
        <v/>
      </c>
      <c r="U286">
        <f>IF(R286&lt;&gt;"",IF(Q291="",0,MATCH(TRUE,INDEX(Q291:$Q$1100="",0),0)-1),"")</f>
        <v/>
      </c>
      <c r="V286">
        <f>IF(AND(T286&lt;&gt;"",U286&lt;&gt;""),IF(U286-T286&lt;=0,"Falls Short",U286-T286),"")</f>
        <v/>
      </c>
      <c r="W286">
        <f>IF(AND(R286&lt;&gt;"",V286&lt;&gt;"Falls Short"),20*V286,"")</f>
        <v/>
      </c>
    </row>
    <row r="287" ht="15" customHeight="1" s="21">
      <c r="Q287">
        <f>LEFT(I287,9)</f>
        <v/>
      </c>
      <c r="R287">
        <f>TRIM(B287)</f>
        <v/>
      </c>
      <c r="S287">
        <f>COUNTIF($X$1:$X$9,R287) &gt; 0</f>
        <v/>
      </c>
      <c r="T287">
        <f>IF(AND(S287=FALSE,LEN(R287)&gt;2),4,IF(S287=TRUE,INDEX($Y$1:$Y$9,MATCH(R287,$X$1:$X$9,0)),""))</f>
        <v/>
      </c>
      <c r="U287">
        <f>IF(R287&lt;&gt;"",IF(Q292="",0,MATCH(TRUE,INDEX(Q292:$Q$1100="",0),0)-1),"")</f>
        <v/>
      </c>
      <c r="V287">
        <f>IF(AND(T287&lt;&gt;"",U287&lt;&gt;""),IF(U287-T287&lt;=0,"Falls Short",U287-T287),"")</f>
        <v/>
      </c>
      <c r="W287">
        <f>IF(AND(R287&lt;&gt;"",V287&lt;&gt;"Falls Short"),20*V287,"")</f>
        <v/>
      </c>
    </row>
    <row r="288" ht="15" customHeight="1" s="21">
      <c r="Q288">
        <f>LEFT(I288,9)</f>
        <v/>
      </c>
      <c r="R288">
        <f>TRIM(B288)</f>
        <v/>
      </c>
      <c r="S288">
        <f>COUNTIF($X$1:$X$9,R288) &gt; 0</f>
        <v/>
      </c>
      <c r="T288">
        <f>IF(AND(S288=FALSE,LEN(R288)&gt;2),4,IF(S288=TRUE,INDEX($Y$1:$Y$9,MATCH(R288,$X$1:$X$9,0)),""))</f>
        <v/>
      </c>
      <c r="U288">
        <f>IF(R288&lt;&gt;"",IF(Q293="",0,MATCH(TRUE,INDEX(Q293:$Q$1100="",0),0)-1),"")</f>
        <v/>
      </c>
      <c r="V288">
        <f>IF(AND(T288&lt;&gt;"",U288&lt;&gt;""),IF(U288-T288&lt;=0,"Falls Short",U288-T288),"")</f>
        <v/>
      </c>
      <c r="W288">
        <f>IF(AND(R288&lt;&gt;"",V288&lt;&gt;"Falls Short"),20*V288,"")</f>
        <v/>
      </c>
    </row>
    <row r="289">
      <c r="Q289">
        <f>LEFT(I289,9)</f>
        <v/>
      </c>
      <c r="R289">
        <f>TRIM(B289)</f>
        <v/>
      </c>
      <c r="S289">
        <f>COUNTIF($X$1:$X$9,R289) &gt; 0</f>
        <v/>
      </c>
      <c r="T289">
        <f>IF(AND(S289=FALSE,LEN(R289)&gt;2),4,IF(S289=TRUE,INDEX($Y$1:$Y$9,MATCH(R289,$X$1:$X$9,0)),""))</f>
        <v/>
      </c>
      <c r="U289">
        <f>IF(R289&lt;&gt;"",IF(Q294="",0,MATCH(TRUE,INDEX(Q294:$Q$1100="",0),0)-1),"")</f>
        <v/>
      </c>
      <c r="V289">
        <f>IF(AND(T289&lt;&gt;"",U289&lt;&gt;""),IF(U289-T289&lt;=0,"Falls Short",U289-T289),"")</f>
        <v/>
      </c>
      <c r="W289">
        <f>IF(AND(R289&lt;&gt;"",V289&lt;&gt;"Falls Short"),20*V289,"")</f>
        <v/>
      </c>
    </row>
    <row r="290">
      <c r="Q290">
        <f>LEFT(I290,9)</f>
        <v/>
      </c>
      <c r="R290">
        <f>TRIM(B290)</f>
        <v/>
      </c>
      <c r="S290">
        <f>COUNTIF($X$1:$X$9,R290) &gt; 0</f>
        <v/>
      </c>
      <c r="T290">
        <f>IF(AND(S290=FALSE,LEN(R290)&gt;2),4,IF(S290=TRUE,INDEX($Y$1:$Y$9,MATCH(R290,$X$1:$X$9,0)),""))</f>
        <v/>
      </c>
      <c r="U290">
        <f>IF(R290&lt;&gt;"",IF(Q295="",0,MATCH(TRUE,INDEX(Q295:$Q$1100="",0),0)-1),"")</f>
        <v/>
      </c>
      <c r="V290">
        <f>IF(AND(T290&lt;&gt;"",U290&lt;&gt;""),IF(U290-T290&lt;=0,"Falls Short",U290-T290),"")</f>
        <v/>
      </c>
      <c r="W290">
        <f>IF(AND(R290&lt;&gt;"",V290&lt;&gt;"Falls Short"),20*V290,"")</f>
        <v/>
      </c>
    </row>
    <row r="291">
      <c r="Q291">
        <f>LEFT(I291,9)</f>
        <v/>
      </c>
      <c r="R291">
        <f>TRIM(B291)</f>
        <v/>
      </c>
      <c r="S291">
        <f>COUNTIF($X$1:$X$9,R291) &gt; 0</f>
        <v/>
      </c>
      <c r="T291">
        <f>IF(AND(S291=FALSE,LEN(R291)&gt;2),4,IF(S291=TRUE,INDEX($Y$1:$Y$9,MATCH(R291,$X$1:$X$9,0)),""))</f>
        <v/>
      </c>
      <c r="U291">
        <f>IF(R291&lt;&gt;"",IF(Q296="",0,MATCH(TRUE,INDEX(Q296:$Q$1100="",0),0)-1),"")</f>
        <v/>
      </c>
      <c r="V291">
        <f>IF(AND(T291&lt;&gt;"",U291&lt;&gt;""),IF(U291-T291&lt;=0,"Falls Short",U291-T291),"")</f>
        <v/>
      </c>
      <c r="W291">
        <f>IF(AND(R291&lt;&gt;"",V291&lt;&gt;"Falls Short"),20*V291,"")</f>
        <v/>
      </c>
    </row>
    <row r="292">
      <c r="Q292">
        <f>LEFT(I292,9)</f>
        <v/>
      </c>
      <c r="R292">
        <f>TRIM(B292)</f>
        <v/>
      </c>
      <c r="S292">
        <f>COUNTIF($X$1:$X$9,R292) &gt; 0</f>
        <v/>
      </c>
      <c r="T292">
        <f>IF(AND(S292=FALSE,LEN(R292)&gt;2),4,IF(S292=TRUE,INDEX($Y$1:$Y$9,MATCH(R292,$X$1:$X$9,0)),""))</f>
        <v/>
      </c>
      <c r="U292">
        <f>IF(R292&lt;&gt;"",IF(Q297="",0,MATCH(TRUE,INDEX(Q297:$Q$1100="",0),0)-1),"")</f>
        <v/>
      </c>
      <c r="V292">
        <f>IF(AND(T292&lt;&gt;"",U292&lt;&gt;""),IF(U292-T292&lt;=0,"Falls Short",U292-T292),"")</f>
        <v/>
      </c>
      <c r="W292">
        <f>IF(AND(R292&lt;&gt;"",V292&lt;&gt;"Falls Short"),20*V292,"")</f>
        <v/>
      </c>
    </row>
    <row r="293">
      <c r="Q293">
        <f>LEFT(I293,9)</f>
        <v/>
      </c>
      <c r="R293">
        <f>TRIM(B293)</f>
        <v/>
      </c>
      <c r="S293">
        <f>COUNTIF($X$1:$X$9,R293) &gt; 0</f>
        <v/>
      </c>
      <c r="T293">
        <f>IF(AND(S293=FALSE,LEN(R293)&gt;2),4,IF(S293=TRUE,INDEX($Y$1:$Y$9,MATCH(R293,$X$1:$X$9,0)),""))</f>
        <v/>
      </c>
      <c r="U293">
        <f>IF(R293&lt;&gt;"",IF(Q298="",0,MATCH(TRUE,INDEX(Q298:$Q$1100="",0),0)-1),"")</f>
        <v/>
      </c>
      <c r="V293">
        <f>IF(AND(T293&lt;&gt;"",U293&lt;&gt;""),IF(U293-T293&lt;=0,"Falls Short",U293-T293),"")</f>
        <v/>
      </c>
      <c r="W293">
        <f>IF(AND(R293&lt;&gt;"",V293&lt;&gt;"Falls Short"),20*V293,"")</f>
        <v/>
      </c>
    </row>
    <row r="294">
      <c r="Q294">
        <f>LEFT(I294,9)</f>
        <v/>
      </c>
      <c r="R294">
        <f>TRIM(B294)</f>
        <v/>
      </c>
      <c r="S294">
        <f>COUNTIF($X$1:$X$9,R294) &gt; 0</f>
        <v/>
      </c>
      <c r="T294">
        <f>IF(AND(S294=FALSE,LEN(R294)&gt;2),4,IF(S294=TRUE,INDEX($Y$1:$Y$9,MATCH(R294,$X$1:$X$9,0)),""))</f>
        <v/>
      </c>
      <c r="U294">
        <f>IF(R294&lt;&gt;"",IF(Q299="",0,MATCH(TRUE,INDEX(Q299:$Q$1100="",0),0)-1),"")</f>
        <v/>
      </c>
      <c r="V294">
        <f>IF(AND(T294&lt;&gt;"",U294&lt;&gt;""),IF(U294-T294&lt;=0,"Falls Short",U294-T294),"")</f>
        <v/>
      </c>
      <c r="W294">
        <f>IF(AND(R294&lt;&gt;"",V294&lt;&gt;"Falls Short"),20*V294,"")</f>
        <v/>
      </c>
    </row>
    <row r="295">
      <c r="Q295">
        <f>LEFT(I295,9)</f>
        <v/>
      </c>
      <c r="R295">
        <f>TRIM(B295)</f>
        <v/>
      </c>
      <c r="S295">
        <f>COUNTIF($X$1:$X$9,R295) &gt; 0</f>
        <v/>
      </c>
      <c r="T295">
        <f>IF(AND(S295=FALSE,LEN(R295)&gt;2),4,IF(S295=TRUE,INDEX($Y$1:$Y$9,MATCH(R295,$X$1:$X$9,0)),""))</f>
        <v/>
      </c>
      <c r="U295">
        <f>IF(R295&lt;&gt;"",IF(Q300="",0,MATCH(TRUE,INDEX(Q300:$Q$1100="",0),0)-1),"")</f>
        <v/>
      </c>
      <c r="V295">
        <f>IF(AND(T295&lt;&gt;"",U295&lt;&gt;""),IF(U295-T295&lt;=0,"Falls Short",U295-T295),"")</f>
        <v/>
      </c>
      <c r="W295">
        <f>IF(AND(R295&lt;&gt;"",V295&lt;&gt;"Falls Short"),20*V295,"")</f>
        <v/>
      </c>
    </row>
    <row r="296">
      <c r="Q296">
        <f>LEFT(I296,9)</f>
        <v/>
      </c>
      <c r="R296">
        <f>TRIM(B296)</f>
        <v/>
      </c>
      <c r="S296">
        <f>COUNTIF($X$1:$X$9,R296) &gt; 0</f>
        <v/>
      </c>
      <c r="T296">
        <f>IF(AND(S296=FALSE,LEN(R296)&gt;2),4,IF(S296=TRUE,INDEX($Y$1:$Y$9,MATCH(R296,$X$1:$X$9,0)),""))</f>
        <v/>
      </c>
      <c r="U296">
        <f>IF(R296&lt;&gt;"",IF(Q301="",0,MATCH(TRUE,INDEX(Q301:$Q$1100="",0),0)-1),"")</f>
        <v/>
      </c>
      <c r="V296">
        <f>IF(AND(T296&lt;&gt;"",U296&lt;&gt;""),IF(U296-T296&lt;=0,"Falls Short",U296-T296),"")</f>
        <v/>
      </c>
      <c r="W296">
        <f>IF(AND(R296&lt;&gt;"",V296&lt;&gt;"Falls Short"),20*V296,"")</f>
        <v/>
      </c>
    </row>
    <row r="297">
      <c r="Q297">
        <f>LEFT(I297,9)</f>
        <v/>
      </c>
      <c r="R297">
        <f>TRIM(B297)</f>
        <v/>
      </c>
      <c r="S297">
        <f>COUNTIF($X$1:$X$9,R297) &gt; 0</f>
        <v/>
      </c>
      <c r="T297">
        <f>IF(AND(S297=FALSE,LEN(R297)&gt;2),4,IF(S297=TRUE,INDEX($Y$1:$Y$9,MATCH(R297,$X$1:$X$9,0)),""))</f>
        <v/>
      </c>
      <c r="U297">
        <f>IF(R297&lt;&gt;"",IF(Q302="",0,MATCH(TRUE,INDEX(Q302:$Q$1100="",0),0)-1),"")</f>
        <v/>
      </c>
      <c r="V297">
        <f>IF(AND(T297&lt;&gt;"",U297&lt;&gt;""),IF(U297-T297&lt;=0,"Falls Short",U297-T297),"")</f>
        <v/>
      </c>
      <c r="W297">
        <f>IF(AND(R297&lt;&gt;"",V297&lt;&gt;"Falls Short"),20*V297,"")</f>
        <v/>
      </c>
    </row>
    <row r="298">
      <c r="Q298">
        <f>LEFT(I298,9)</f>
        <v/>
      </c>
      <c r="R298">
        <f>TRIM(B298)</f>
        <v/>
      </c>
      <c r="S298">
        <f>COUNTIF($X$1:$X$9,R298) &gt; 0</f>
        <v/>
      </c>
      <c r="T298">
        <f>IF(AND(S298=FALSE,LEN(R298)&gt;2),4,IF(S298=TRUE,INDEX($Y$1:$Y$9,MATCH(R298,$X$1:$X$9,0)),""))</f>
        <v/>
      </c>
      <c r="U298">
        <f>IF(R298&lt;&gt;"",IF(Q303="",0,MATCH(TRUE,INDEX(Q303:$Q$1100="",0),0)-1),"")</f>
        <v/>
      </c>
      <c r="V298">
        <f>IF(AND(T298&lt;&gt;"",U298&lt;&gt;""),IF(U298-T298&lt;=0,"Falls Short",U298-T298),"")</f>
        <v/>
      </c>
      <c r="W298">
        <f>IF(AND(R298&lt;&gt;"",V298&lt;&gt;"Falls Short"),20*V298,"")</f>
        <v/>
      </c>
    </row>
    <row r="299">
      <c r="Q299">
        <f>LEFT(I299,9)</f>
        <v/>
      </c>
      <c r="R299">
        <f>TRIM(B299)</f>
        <v/>
      </c>
      <c r="S299">
        <f>COUNTIF($X$1:$X$9,R299) &gt; 0</f>
        <v/>
      </c>
      <c r="T299">
        <f>IF(AND(S299=FALSE,LEN(R299)&gt;2),4,IF(S299=TRUE,INDEX($Y$1:$Y$9,MATCH(R299,$X$1:$X$9,0)),""))</f>
        <v/>
      </c>
      <c r="U299">
        <f>IF(R299&lt;&gt;"",IF(Q304="",0,MATCH(TRUE,INDEX(Q304:$Q$1100="",0),0)-1),"")</f>
        <v/>
      </c>
      <c r="V299">
        <f>IF(AND(T299&lt;&gt;"",U299&lt;&gt;""),IF(U299-T299&lt;=0,"Falls Short",U299-T299),"")</f>
        <v/>
      </c>
      <c r="W299">
        <f>IF(AND(R299&lt;&gt;"",V299&lt;&gt;"Falls Short"),20*V299,"")</f>
        <v/>
      </c>
    </row>
    <row r="300">
      <c r="Q300">
        <f>LEFT(I300,9)</f>
        <v/>
      </c>
      <c r="R300">
        <f>TRIM(B300)</f>
        <v/>
      </c>
      <c r="S300">
        <f>COUNTIF($X$1:$X$9,R300) &gt; 0</f>
        <v/>
      </c>
      <c r="T300">
        <f>IF(AND(S300=FALSE,LEN(R300)&gt;2),4,IF(S300=TRUE,INDEX($Y$1:$Y$9,MATCH(R300,$X$1:$X$9,0)),""))</f>
        <v/>
      </c>
      <c r="U300">
        <f>IF(R300&lt;&gt;"",IF(Q305="",0,MATCH(TRUE,INDEX(Q305:$Q$1100="",0),0)-1),"")</f>
        <v/>
      </c>
      <c r="V300">
        <f>IF(AND(T300&lt;&gt;"",U300&lt;&gt;""),IF(U300-T300&lt;=0,"Falls Short",U300-T300),"")</f>
        <v/>
      </c>
      <c r="W300">
        <f>IF(AND(R300&lt;&gt;"",V300&lt;&gt;"Falls Short"),20*V300,"")</f>
        <v/>
      </c>
    </row>
    <row r="301">
      <c r="Q301">
        <f>LEFT(I301,9)</f>
        <v/>
      </c>
      <c r="R301">
        <f>TRIM(B301)</f>
        <v/>
      </c>
      <c r="S301">
        <f>COUNTIF($X$1:$X$9,R301) &gt; 0</f>
        <v/>
      </c>
      <c r="T301">
        <f>IF(AND(S301=FALSE,LEN(R301)&gt;2),4,IF(S301=TRUE,INDEX($Y$1:$Y$9,MATCH(R301,$X$1:$X$9,0)),""))</f>
        <v/>
      </c>
      <c r="U301">
        <f>IF(R301&lt;&gt;"",IF(Q306="",0,MATCH(TRUE,INDEX(Q306:$Q$1100="",0),0)-1),"")</f>
        <v/>
      </c>
      <c r="V301">
        <f>IF(AND(T301&lt;&gt;"",U301&lt;&gt;""),IF(U301-T301&lt;=0,"Falls Short",U301-T301),"")</f>
        <v/>
      </c>
      <c r="W301">
        <f>IF(AND(R301&lt;&gt;"",V301&lt;&gt;"Falls Short"),20*V301,"")</f>
        <v/>
      </c>
    </row>
    <row r="302">
      <c r="Q302">
        <f>LEFT(I302,9)</f>
        <v/>
      </c>
      <c r="R302">
        <f>TRIM(B302)</f>
        <v/>
      </c>
      <c r="S302">
        <f>COUNTIF($X$1:$X$9,R302) &gt; 0</f>
        <v/>
      </c>
      <c r="T302">
        <f>IF(AND(S302=FALSE,LEN(R302)&gt;2),4,IF(S302=TRUE,INDEX($Y$1:$Y$9,MATCH(R302,$X$1:$X$9,0)),""))</f>
        <v/>
      </c>
      <c r="U302">
        <f>IF(R302&lt;&gt;"",IF(Q307="",0,MATCH(TRUE,INDEX(Q307:$Q$1100="",0),0)-1),"")</f>
        <v/>
      </c>
      <c r="V302">
        <f>IF(AND(T302&lt;&gt;"",U302&lt;&gt;""),IF(U302-T302&lt;=0,"Falls Short",U302-T302),"")</f>
        <v/>
      </c>
      <c r="W302">
        <f>IF(AND(R302&lt;&gt;"",V302&lt;&gt;"Falls Short"),20*V302,"")</f>
        <v/>
      </c>
    </row>
    <row r="303">
      <c r="Q303">
        <f>LEFT(I303,9)</f>
        <v/>
      </c>
      <c r="R303">
        <f>TRIM(B303)</f>
        <v/>
      </c>
      <c r="S303">
        <f>COUNTIF($X$1:$X$9,R303) &gt; 0</f>
        <v/>
      </c>
      <c r="T303">
        <f>IF(AND(S303=FALSE,LEN(R303)&gt;2),4,IF(S303=TRUE,INDEX($Y$1:$Y$9,MATCH(R303,$X$1:$X$9,0)),""))</f>
        <v/>
      </c>
      <c r="U303">
        <f>IF(R303&lt;&gt;"",IF(Q308="",0,MATCH(TRUE,INDEX(Q308:$Q$1100="",0),0)-1),"")</f>
        <v/>
      </c>
      <c r="V303">
        <f>IF(AND(T303&lt;&gt;"",U303&lt;&gt;""),IF(U303-T303&lt;=0,"Falls Short",U303-T303),"")</f>
        <v/>
      </c>
      <c r="W303">
        <f>IF(AND(R303&lt;&gt;"",V303&lt;&gt;"Falls Short"),20*V303,"")</f>
        <v/>
      </c>
    </row>
    <row r="304">
      <c r="Q304">
        <f>LEFT(I304,9)</f>
        <v/>
      </c>
      <c r="R304">
        <f>TRIM(B304)</f>
        <v/>
      </c>
      <c r="S304">
        <f>COUNTIF($X$1:$X$9,R304) &gt; 0</f>
        <v/>
      </c>
      <c r="T304">
        <f>IF(AND(S304=FALSE,LEN(R304)&gt;2),4,IF(S304=TRUE,INDEX($Y$1:$Y$9,MATCH(R304,$X$1:$X$9,0)),""))</f>
        <v/>
      </c>
      <c r="U304">
        <f>IF(R304&lt;&gt;"",IF(Q309="",0,MATCH(TRUE,INDEX(Q309:$Q$1100="",0),0)-1),"")</f>
        <v/>
      </c>
      <c r="V304">
        <f>IF(AND(T304&lt;&gt;"",U304&lt;&gt;""),IF(U304-T304&lt;=0,"Falls Short",U304-T304),"")</f>
        <v/>
      </c>
      <c r="W304">
        <f>IF(AND(R304&lt;&gt;"",V304&lt;&gt;"Falls Short"),20*V304,"")</f>
        <v/>
      </c>
    </row>
    <row r="305">
      <c r="Q305">
        <f>LEFT(I305,9)</f>
        <v/>
      </c>
      <c r="R305">
        <f>TRIM(B305)</f>
        <v/>
      </c>
      <c r="S305">
        <f>COUNTIF($X$1:$X$9,R305) &gt; 0</f>
        <v/>
      </c>
      <c r="T305">
        <f>IF(AND(S305=FALSE,LEN(R305)&gt;2),4,IF(S305=TRUE,INDEX($Y$1:$Y$9,MATCH(R305,$X$1:$X$9,0)),""))</f>
        <v/>
      </c>
      <c r="U305">
        <f>IF(R305&lt;&gt;"",IF(Q310="",0,MATCH(TRUE,INDEX(Q310:$Q$1100="",0),0)-1),"")</f>
        <v/>
      </c>
      <c r="V305">
        <f>IF(AND(T305&lt;&gt;"",U305&lt;&gt;""),IF(U305-T305&lt;=0,"Falls Short",U305-T305),"")</f>
        <v/>
      </c>
      <c r="W305">
        <f>IF(AND(R305&lt;&gt;"",V305&lt;&gt;"Falls Short"),20*V305,"")</f>
        <v/>
      </c>
    </row>
    <row r="306">
      <c r="Q306">
        <f>LEFT(I306,9)</f>
        <v/>
      </c>
      <c r="R306">
        <f>TRIM(B306)</f>
        <v/>
      </c>
      <c r="S306">
        <f>COUNTIF($X$1:$X$9,R306) &gt; 0</f>
        <v/>
      </c>
      <c r="T306">
        <f>IF(AND(S306=FALSE,LEN(R306)&gt;2),4,IF(S306=TRUE,INDEX($Y$1:$Y$9,MATCH(R306,$X$1:$X$9,0)),""))</f>
        <v/>
      </c>
      <c r="U306">
        <f>IF(R306&lt;&gt;"",IF(Q311="",0,MATCH(TRUE,INDEX(Q311:$Q$1100="",0),0)-1),"")</f>
        <v/>
      </c>
      <c r="V306">
        <f>IF(AND(T306&lt;&gt;"",U306&lt;&gt;""),IF(U306-T306&lt;=0,"Falls Short",U306-T306),"")</f>
        <v/>
      </c>
      <c r="W306">
        <f>IF(AND(R306&lt;&gt;"",V306&lt;&gt;"Falls Short"),20*V306,"")</f>
        <v/>
      </c>
    </row>
    <row r="307">
      <c r="Q307">
        <f>LEFT(I307,9)</f>
        <v/>
      </c>
      <c r="R307">
        <f>TRIM(B307)</f>
        <v/>
      </c>
      <c r="S307">
        <f>COUNTIF($X$1:$X$9,R307) &gt; 0</f>
        <v/>
      </c>
      <c r="T307">
        <f>IF(AND(S307=FALSE,LEN(R307)&gt;2),4,IF(S307=TRUE,INDEX($Y$1:$Y$9,MATCH(R307,$X$1:$X$9,0)),""))</f>
        <v/>
      </c>
      <c r="U307">
        <f>IF(R307&lt;&gt;"",IF(Q312="",0,MATCH(TRUE,INDEX(Q312:$Q$1100="",0),0)-1),"")</f>
        <v/>
      </c>
      <c r="V307">
        <f>IF(AND(T307&lt;&gt;"",U307&lt;&gt;""),IF(U307-T307&lt;=0,"Falls Short",U307-T307),"")</f>
        <v/>
      </c>
      <c r="W307">
        <f>IF(AND(R307&lt;&gt;"",V307&lt;&gt;"Falls Short"),20*V307,"")</f>
        <v/>
      </c>
    </row>
    <row r="308">
      <c r="Q308">
        <f>LEFT(I308,9)</f>
        <v/>
      </c>
      <c r="R308">
        <f>TRIM(B308)</f>
        <v/>
      </c>
      <c r="S308">
        <f>COUNTIF($X$1:$X$9,R308) &gt; 0</f>
        <v/>
      </c>
      <c r="T308">
        <f>IF(AND(S308=FALSE,LEN(R308)&gt;2),4,IF(S308=TRUE,INDEX($Y$1:$Y$9,MATCH(R308,$X$1:$X$9,0)),""))</f>
        <v/>
      </c>
      <c r="U308">
        <f>IF(R308&lt;&gt;"",IF(Q313="",0,MATCH(TRUE,INDEX(Q313:$Q$1100="",0),0)-1),"")</f>
        <v/>
      </c>
      <c r="V308">
        <f>IF(AND(T308&lt;&gt;"",U308&lt;&gt;""),IF(U308-T308&lt;=0,"Falls Short",U308-T308),"")</f>
        <v/>
      </c>
      <c r="W308">
        <f>IF(AND(R308&lt;&gt;"",V308&lt;&gt;"Falls Short"),20*V308,"")</f>
        <v/>
      </c>
    </row>
    <row r="309">
      <c r="Q309">
        <f>LEFT(I309,9)</f>
        <v/>
      </c>
      <c r="R309">
        <f>TRIM(B309)</f>
        <v/>
      </c>
      <c r="S309">
        <f>COUNTIF($X$1:$X$9,R309) &gt; 0</f>
        <v/>
      </c>
      <c r="T309">
        <f>IF(AND(S309=FALSE,LEN(R309)&gt;2),4,IF(S309=TRUE,INDEX($Y$1:$Y$9,MATCH(R309,$X$1:$X$9,0)),""))</f>
        <v/>
      </c>
      <c r="U309">
        <f>IF(R309&lt;&gt;"",IF(Q314="",0,MATCH(TRUE,INDEX(Q314:$Q$1100="",0),0)-1),"")</f>
        <v/>
      </c>
      <c r="V309">
        <f>IF(AND(T309&lt;&gt;"",U309&lt;&gt;""),IF(U309-T309&lt;=0,"Falls Short",U309-T309),"")</f>
        <v/>
      </c>
      <c r="W309">
        <f>IF(AND(R309&lt;&gt;"",V309&lt;&gt;"Falls Short"),20*V309,"")</f>
        <v/>
      </c>
    </row>
    <row r="310">
      <c r="Q310">
        <f>LEFT(I310,9)</f>
        <v/>
      </c>
      <c r="R310">
        <f>TRIM(B310)</f>
        <v/>
      </c>
      <c r="S310">
        <f>COUNTIF($X$1:$X$9,R310) &gt; 0</f>
        <v/>
      </c>
      <c r="T310">
        <f>IF(AND(S310=FALSE,LEN(R310)&gt;2),4,IF(S310=TRUE,INDEX($Y$1:$Y$9,MATCH(R310,$X$1:$X$9,0)),""))</f>
        <v/>
      </c>
      <c r="U310">
        <f>IF(R310&lt;&gt;"",IF(Q315="",0,MATCH(TRUE,INDEX(Q315:$Q$1100="",0),0)-1),"")</f>
        <v/>
      </c>
      <c r="V310">
        <f>IF(AND(T310&lt;&gt;"",U310&lt;&gt;""),IF(U310-T310&lt;=0,"Falls Short",U310-T310),"")</f>
        <v/>
      </c>
      <c r="W310">
        <f>IF(AND(R310&lt;&gt;"",V310&lt;&gt;"Falls Short"),20*V310,"")</f>
        <v/>
      </c>
    </row>
    <row r="311">
      <c r="Q311">
        <f>LEFT(I311,9)</f>
        <v/>
      </c>
      <c r="R311">
        <f>TRIM(B311)</f>
        <v/>
      </c>
      <c r="S311">
        <f>COUNTIF($X$1:$X$9,R311) &gt; 0</f>
        <v/>
      </c>
      <c r="T311">
        <f>IF(AND(S311=FALSE,LEN(R311)&gt;2),4,IF(S311=TRUE,INDEX($Y$1:$Y$9,MATCH(R311,$X$1:$X$9,0)),""))</f>
        <v/>
      </c>
      <c r="U311">
        <f>IF(R311&lt;&gt;"",IF(Q316="",0,MATCH(TRUE,INDEX(Q316:$Q$1100="",0),0)-1),"")</f>
        <v/>
      </c>
      <c r="V311">
        <f>IF(AND(T311&lt;&gt;"",U311&lt;&gt;""),IF(U311-T311&lt;=0,"Falls Short",U311-T311),"")</f>
        <v/>
      </c>
      <c r="W311">
        <f>IF(AND(R311&lt;&gt;"",V311&lt;&gt;"Falls Short"),20*V311,"")</f>
        <v/>
      </c>
    </row>
    <row r="312">
      <c r="Q312">
        <f>LEFT(I312,9)</f>
        <v/>
      </c>
      <c r="R312">
        <f>TRIM(B312)</f>
        <v/>
      </c>
      <c r="S312">
        <f>COUNTIF($X$1:$X$9,R312) &gt; 0</f>
        <v/>
      </c>
      <c r="T312">
        <f>IF(AND(S312=FALSE,LEN(R312)&gt;2),4,IF(S312=TRUE,INDEX($Y$1:$Y$9,MATCH(R312,$X$1:$X$9,0)),""))</f>
        <v/>
      </c>
      <c r="U312">
        <f>IF(R312&lt;&gt;"",IF(Q317="",0,MATCH(TRUE,INDEX(Q317:$Q$1100="",0),0)-1),"")</f>
        <v/>
      </c>
      <c r="V312">
        <f>IF(AND(T312&lt;&gt;"",U312&lt;&gt;""),IF(U312-T312&lt;=0,"Falls Short",U312-T312),"")</f>
        <v/>
      </c>
      <c r="W312">
        <f>IF(AND(R312&lt;&gt;"",V312&lt;&gt;"Falls Short"),20*V312,"")</f>
        <v/>
      </c>
    </row>
    <row r="313">
      <c r="Q313">
        <f>LEFT(I313,9)</f>
        <v/>
      </c>
      <c r="R313">
        <f>TRIM(B313)</f>
        <v/>
      </c>
      <c r="S313">
        <f>COUNTIF($X$1:$X$9,R313) &gt; 0</f>
        <v/>
      </c>
      <c r="T313">
        <f>IF(AND(S313=FALSE,LEN(R313)&gt;2),4,IF(S313=TRUE,INDEX($Y$1:$Y$9,MATCH(R313,$X$1:$X$9,0)),""))</f>
        <v/>
      </c>
      <c r="U313">
        <f>IF(R313&lt;&gt;"",IF(Q318="",0,MATCH(TRUE,INDEX(Q318:$Q$1100="",0),0)-1),"")</f>
        <v/>
      </c>
      <c r="V313">
        <f>IF(AND(T313&lt;&gt;"",U313&lt;&gt;""),IF(U313-T313&lt;=0,"Falls Short",U313-T313),"")</f>
        <v/>
      </c>
      <c r="W313">
        <f>IF(AND(R313&lt;&gt;"",V313&lt;&gt;"Falls Short"),20*V313,"")</f>
        <v/>
      </c>
    </row>
    <row r="314">
      <c r="Q314">
        <f>LEFT(I314,9)</f>
        <v/>
      </c>
      <c r="R314">
        <f>TRIM(B314)</f>
        <v/>
      </c>
      <c r="S314">
        <f>COUNTIF($X$1:$X$9,R314) &gt; 0</f>
        <v/>
      </c>
      <c r="T314">
        <f>IF(AND(S314=FALSE,LEN(R314)&gt;2),4,IF(S314=TRUE,INDEX($Y$1:$Y$9,MATCH(R314,$X$1:$X$9,0)),""))</f>
        <v/>
      </c>
      <c r="U314">
        <f>IF(R314&lt;&gt;"",IF(Q319="",0,MATCH(TRUE,INDEX(Q319:$Q$1100="",0),0)-1),"")</f>
        <v/>
      </c>
      <c r="V314">
        <f>IF(AND(T314&lt;&gt;"",U314&lt;&gt;""),IF(U314-T314&lt;=0,"Falls Short",U314-T314),"")</f>
        <v/>
      </c>
      <c r="W314">
        <f>IF(AND(R314&lt;&gt;"",V314&lt;&gt;"Falls Short"),20*V314,"")</f>
        <v/>
      </c>
    </row>
    <row r="315">
      <c r="Q315">
        <f>LEFT(I315,9)</f>
        <v/>
      </c>
      <c r="R315">
        <f>TRIM(B315)</f>
        <v/>
      </c>
      <c r="S315">
        <f>COUNTIF($X$1:$X$9,R315) &gt; 0</f>
        <v/>
      </c>
      <c r="T315">
        <f>IF(AND(S315=FALSE,LEN(R315)&gt;2),4,IF(S315=TRUE,INDEX($Y$1:$Y$9,MATCH(R315,$X$1:$X$9,0)),""))</f>
        <v/>
      </c>
      <c r="U315">
        <f>IF(R315&lt;&gt;"",IF(Q320="",0,MATCH(TRUE,INDEX(Q320:$Q$1100="",0),0)-1),"")</f>
        <v/>
      </c>
      <c r="V315">
        <f>IF(AND(T315&lt;&gt;"",U315&lt;&gt;""),IF(U315-T315&lt;=0,"Falls Short",U315-T315),"")</f>
        <v/>
      </c>
      <c r="W315">
        <f>IF(AND(R315&lt;&gt;"",V315&lt;&gt;"Falls Short"),20*V315,"")</f>
        <v/>
      </c>
    </row>
    <row r="316">
      <c r="Q316">
        <f>LEFT(I316,9)</f>
        <v/>
      </c>
      <c r="R316">
        <f>TRIM(B316)</f>
        <v/>
      </c>
      <c r="S316">
        <f>COUNTIF($X$1:$X$9,R316) &gt; 0</f>
        <v/>
      </c>
      <c r="T316">
        <f>IF(AND(S316=FALSE,LEN(R316)&gt;2),4,IF(S316=TRUE,INDEX($Y$1:$Y$9,MATCH(R316,$X$1:$X$9,0)),""))</f>
        <v/>
      </c>
      <c r="U316">
        <f>IF(R316&lt;&gt;"",IF(Q321="",0,MATCH(TRUE,INDEX(Q321:$Q$1100="",0),0)-1),"")</f>
        <v/>
      </c>
      <c r="V316">
        <f>IF(AND(T316&lt;&gt;"",U316&lt;&gt;""),IF(U316-T316&lt;=0,"Falls Short",U316-T316),"")</f>
        <v/>
      </c>
      <c r="W316">
        <f>IF(AND(R316&lt;&gt;"",V316&lt;&gt;"Falls Short"),20*V316,"")</f>
        <v/>
      </c>
    </row>
    <row r="317">
      <c r="Q317">
        <f>LEFT(I317,9)</f>
        <v/>
      </c>
      <c r="R317">
        <f>TRIM(B317)</f>
        <v/>
      </c>
      <c r="S317">
        <f>COUNTIF($X$1:$X$9,R317) &gt; 0</f>
        <v/>
      </c>
      <c r="T317">
        <f>IF(AND(S317=FALSE,LEN(R317)&gt;2),4,IF(S317=TRUE,INDEX($Y$1:$Y$9,MATCH(R317,$X$1:$X$9,0)),""))</f>
        <v/>
      </c>
      <c r="U317">
        <f>IF(R317&lt;&gt;"",IF(Q322="",0,MATCH(TRUE,INDEX(Q322:$Q$1100="",0),0)-1),"")</f>
        <v/>
      </c>
      <c r="V317">
        <f>IF(AND(T317&lt;&gt;"",U317&lt;&gt;""),IF(U317-T317&lt;=0,"Falls Short",U317-T317),"")</f>
        <v/>
      </c>
      <c r="W317">
        <f>IF(AND(R317&lt;&gt;"",V317&lt;&gt;"Falls Short"),20*V317,"")</f>
        <v/>
      </c>
    </row>
    <row r="318">
      <c r="Q318">
        <f>LEFT(I318,9)</f>
        <v/>
      </c>
      <c r="R318">
        <f>TRIM(B318)</f>
        <v/>
      </c>
      <c r="S318">
        <f>COUNTIF($X$1:$X$9,R318) &gt; 0</f>
        <v/>
      </c>
      <c r="T318">
        <f>IF(AND(S318=FALSE,LEN(R318)&gt;2),4,IF(S318=TRUE,INDEX($Y$1:$Y$9,MATCH(R318,$X$1:$X$9,0)),""))</f>
        <v/>
      </c>
      <c r="U318">
        <f>IF(R318&lt;&gt;"",IF(Q323="",0,MATCH(TRUE,INDEX(Q323:$Q$1100="",0),0)-1),"")</f>
        <v/>
      </c>
      <c r="V318">
        <f>IF(AND(T318&lt;&gt;"",U318&lt;&gt;""),IF(U318-T318&lt;=0,"Falls Short",U318-T318),"")</f>
        <v/>
      </c>
      <c r="W318">
        <f>IF(AND(R318&lt;&gt;"",V318&lt;&gt;"Falls Short"),20*V318,"")</f>
        <v/>
      </c>
    </row>
    <row r="319">
      <c r="Q319">
        <f>LEFT(I319,9)</f>
        <v/>
      </c>
      <c r="R319">
        <f>TRIM(B319)</f>
        <v/>
      </c>
      <c r="S319">
        <f>COUNTIF($X$1:$X$9,R319) &gt; 0</f>
        <v/>
      </c>
      <c r="T319">
        <f>IF(AND(S319=FALSE,LEN(R319)&gt;2),4,IF(S319=TRUE,INDEX($Y$1:$Y$9,MATCH(R319,$X$1:$X$9,0)),""))</f>
        <v/>
      </c>
      <c r="U319">
        <f>IF(R319&lt;&gt;"",IF(Q324="",0,MATCH(TRUE,INDEX(Q324:$Q$1100="",0),0)-1),"")</f>
        <v/>
      </c>
      <c r="V319">
        <f>IF(AND(T319&lt;&gt;"",U319&lt;&gt;""),IF(U319-T319&lt;=0,"Falls Short",U319-T319),"")</f>
        <v/>
      </c>
      <c r="W319">
        <f>IF(AND(R319&lt;&gt;"",V319&lt;&gt;"Falls Short"),20*V319,"")</f>
        <v/>
      </c>
    </row>
    <row r="320">
      <c r="Q320">
        <f>LEFT(I320,9)</f>
        <v/>
      </c>
      <c r="R320">
        <f>TRIM(B320)</f>
        <v/>
      </c>
      <c r="S320">
        <f>COUNTIF($X$1:$X$9,R320) &gt; 0</f>
        <v/>
      </c>
      <c r="T320">
        <f>IF(AND(S320=FALSE,LEN(R320)&gt;2),4,IF(S320=TRUE,INDEX($Y$1:$Y$9,MATCH(R320,$X$1:$X$9,0)),""))</f>
        <v/>
      </c>
      <c r="U320">
        <f>IF(R320&lt;&gt;"",IF(Q325="",0,MATCH(TRUE,INDEX(Q325:$Q$1100="",0),0)-1),"")</f>
        <v/>
      </c>
      <c r="V320">
        <f>IF(AND(T320&lt;&gt;"",U320&lt;&gt;""),IF(U320-T320&lt;=0,"Falls Short",U320-T320),"")</f>
        <v/>
      </c>
      <c r="W320">
        <f>IF(AND(R320&lt;&gt;"",V320&lt;&gt;"Falls Short"),20*V320,"")</f>
        <v/>
      </c>
    </row>
    <row r="321">
      <c r="Q321">
        <f>LEFT(I321,9)</f>
        <v/>
      </c>
      <c r="R321">
        <f>TRIM(B321)</f>
        <v/>
      </c>
      <c r="S321">
        <f>COUNTIF($X$1:$X$9,R321) &gt; 0</f>
        <v/>
      </c>
      <c r="T321">
        <f>IF(AND(S321=FALSE,LEN(R321)&gt;2),4,IF(S321=TRUE,INDEX($Y$1:$Y$9,MATCH(R321,$X$1:$X$9,0)),""))</f>
        <v/>
      </c>
      <c r="U321">
        <f>IF(R321&lt;&gt;"",IF(Q326="",0,MATCH(TRUE,INDEX(Q326:$Q$1100="",0),0)-1),"")</f>
        <v/>
      </c>
      <c r="V321">
        <f>IF(AND(T321&lt;&gt;"",U321&lt;&gt;""),IF(U321-T321&lt;=0,"Falls Short",U321-T321),"")</f>
        <v/>
      </c>
      <c r="W321">
        <f>IF(AND(R321&lt;&gt;"",V321&lt;&gt;"Falls Short"),20*V321,"")</f>
        <v/>
      </c>
    </row>
    <row r="322">
      <c r="Q322">
        <f>LEFT(I322,9)</f>
        <v/>
      </c>
      <c r="R322">
        <f>TRIM(B322)</f>
        <v/>
      </c>
      <c r="S322">
        <f>COUNTIF($X$1:$X$9,R322) &gt; 0</f>
        <v/>
      </c>
      <c r="T322">
        <f>IF(AND(S322=FALSE,LEN(R322)&gt;2),4,IF(S322=TRUE,INDEX($Y$1:$Y$9,MATCH(R322,$X$1:$X$9,0)),""))</f>
        <v/>
      </c>
      <c r="U322">
        <f>IF(R322&lt;&gt;"",IF(Q327="",0,MATCH(TRUE,INDEX(Q327:$Q$1100="",0),0)-1),"")</f>
        <v/>
      </c>
      <c r="V322">
        <f>IF(AND(T322&lt;&gt;"",U322&lt;&gt;""),IF(U322-T322&lt;=0,"Falls Short",U322-T322),"")</f>
        <v/>
      </c>
      <c r="W322">
        <f>IF(AND(R322&lt;&gt;"",V322&lt;&gt;"Falls Short"),20*V322,"")</f>
        <v/>
      </c>
    </row>
    <row r="323">
      <c r="Q323">
        <f>LEFT(I323,9)</f>
        <v/>
      </c>
      <c r="R323">
        <f>TRIM(B323)</f>
        <v/>
      </c>
      <c r="S323">
        <f>COUNTIF($X$1:$X$9,R323) &gt; 0</f>
        <v/>
      </c>
      <c r="T323">
        <f>IF(AND(S323=FALSE,LEN(R323)&gt;2),4,IF(S323=TRUE,INDEX($Y$1:$Y$9,MATCH(R323,$X$1:$X$9,0)),""))</f>
        <v/>
      </c>
      <c r="U323">
        <f>IF(R323&lt;&gt;"",IF(Q328="",0,MATCH(TRUE,INDEX(Q328:$Q$1100="",0),0)-1),"")</f>
        <v/>
      </c>
      <c r="V323">
        <f>IF(AND(T323&lt;&gt;"",U323&lt;&gt;""),IF(U323-T323&lt;=0,"Falls Short",U323-T323),"")</f>
        <v/>
      </c>
      <c r="W323">
        <f>IF(AND(R323&lt;&gt;"",V323&lt;&gt;"Falls Short"),20*V323,"")</f>
        <v/>
      </c>
    </row>
    <row r="324">
      <c r="Q324">
        <f>LEFT(I324,9)</f>
        <v/>
      </c>
      <c r="R324">
        <f>TRIM(B324)</f>
        <v/>
      </c>
      <c r="S324">
        <f>COUNTIF($X$1:$X$9,R324) &gt; 0</f>
        <v/>
      </c>
      <c r="T324">
        <f>IF(AND(S324=FALSE,LEN(R324)&gt;2),4,IF(S324=TRUE,INDEX($Y$1:$Y$9,MATCH(R324,$X$1:$X$9,0)),""))</f>
        <v/>
      </c>
      <c r="U324">
        <f>IF(R324&lt;&gt;"",IF(Q329="",0,MATCH(TRUE,INDEX(Q329:$Q$1100="",0),0)-1),"")</f>
        <v/>
      </c>
      <c r="V324">
        <f>IF(AND(T324&lt;&gt;"",U324&lt;&gt;""),IF(U324-T324&lt;=0,"Falls Short",U324-T324),"")</f>
        <v/>
      </c>
      <c r="W324">
        <f>IF(AND(R324&lt;&gt;"",V324&lt;&gt;"Falls Short"),20*V324,"")</f>
        <v/>
      </c>
    </row>
    <row r="325">
      <c r="Q325">
        <f>LEFT(I325,9)</f>
        <v/>
      </c>
      <c r="R325">
        <f>TRIM(B325)</f>
        <v/>
      </c>
      <c r="S325">
        <f>COUNTIF($X$1:$X$9,R325) &gt; 0</f>
        <v/>
      </c>
      <c r="T325">
        <f>IF(AND(S325=FALSE,LEN(R325)&gt;2),4,IF(S325=TRUE,INDEX($Y$1:$Y$9,MATCH(R325,$X$1:$X$9,0)),""))</f>
        <v/>
      </c>
      <c r="U325">
        <f>IF(R325&lt;&gt;"",IF(Q330="",0,MATCH(TRUE,INDEX(Q330:$Q$1100="",0),0)-1),"")</f>
        <v/>
      </c>
      <c r="V325">
        <f>IF(AND(T325&lt;&gt;"",U325&lt;&gt;""),IF(U325-T325&lt;=0,"Falls Short",U325-T325),"")</f>
        <v/>
      </c>
      <c r="W325">
        <f>IF(AND(R325&lt;&gt;"",V325&lt;&gt;"Falls Short"),20*V325,"")</f>
        <v/>
      </c>
    </row>
    <row r="326">
      <c r="Q326">
        <f>LEFT(I326,9)</f>
        <v/>
      </c>
      <c r="R326">
        <f>TRIM(B326)</f>
        <v/>
      </c>
      <c r="S326">
        <f>COUNTIF($X$1:$X$9,R326) &gt; 0</f>
        <v/>
      </c>
      <c r="T326">
        <f>IF(AND(S326=FALSE,LEN(R326)&gt;2),4,IF(S326=TRUE,INDEX($Y$1:$Y$9,MATCH(R326,$X$1:$X$9,0)),""))</f>
        <v/>
      </c>
      <c r="U326">
        <f>IF(R326&lt;&gt;"",IF(Q331="",0,MATCH(TRUE,INDEX(Q331:$Q$1100="",0),0)-1),"")</f>
        <v/>
      </c>
      <c r="V326">
        <f>IF(AND(T326&lt;&gt;"",U326&lt;&gt;""),IF(U326-T326&lt;=0,"Falls Short",U326-T326),"")</f>
        <v/>
      </c>
      <c r="W326">
        <f>IF(AND(R326&lt;&gt;"",V326&lt;&gt;"Falls Short"),20*V326,"")</f>
        <v/>
      </c>
    </row>
    <row r="327">
      <c r="Q327">
        <f>LEFT(I327,9)</f>
        <v/>
      </c>
      <c r="R327">
        <f>TRIM(B327)</f>
        <v/>
      </c>
      <c r="S327">
        <f>COUNTIF($X$1:$X$9,R327) &gt; 0</f>
        <v/>
      </c>
      <c r="T327">
        <f>IF(AND(S327=FALSE,LEN(R327)&gt;2),4,IF(S327=TRUE,INDEX($Y$1:$Y$9,MATCH(R327,$X$1:$X$9,0)),""))</f>
        <v/>
      </c>
      <c r="U327">
        <f>IF(R327&lt;&gt;"",IF(Q332="",0,MATCH(TRUE,INDEX(Q332:$Q$1100="",0),0)-1),"")</f>
        <v/>
      </c>
      <c r="V327">
        <f>IF(AND(T327&lt;&gt;"",U327&lt;&gt;""),IF(U327-T327&lt;=0,"Falls Short",U327-T327),"")</f>
        <v/>
      </c>
      <c r="W327">
        <f>IF(AND(R327&lt;&gt;"",V327&lt;&gt;"Falls Short"),20*V327,"")</f>
        <v/>
      </c>
    </row>
    <row r="328">
      <c r="Q328">
        <f>LEFT(I328,9)</f>
        <v/>
      </c>
      <c r="R328">
        <f>TRIM(B328)</f>
        <v/>
      </c>
      <c r="S328">
        <f>COUNTIF($X$1:$X$9,R328) &gt; 0</f>
        <v/>
      </c>
      <c r="T328">
        <f>IF(AND(S328=FALSE,LEN(R328)&gt;2),4,IF(S328=TRUE,INDEX($Y$1:$Y$9,MATCH(R328,$X$1:$X$9,0)),""))</f>
        <v/>
      </c>
      <c r="U328">
        <f>IF(R328&lt;&gt;"",IF(Q333="",0,MATCH(TRUE,INDEX(Q333:$Q$1100="",0),0)-1),"")</f>
        <v/>
      </c>
      <c r="V328">
        <f>IF(AND(T328&lt;&gt;"",U328&lt;&gt;""),IF(U328-T328&lt;=0,"Falls Short",U328-T328),"")</f>
        <v/>
      </c>
      <c r="W328">
        <f>IF(AND(R328&lt;&gt;"",V328&lt;&gt;"Falls Short"),20*V328,"")</f>
        <v/>
      </c>
    </row>
    <row r="329">
      <c r="Q329">
        <f>LEFT(I329,9)</f>
        <v/>
      </c>
      <c r="R329">
        <f>TRIM(B329)</f>
        <v/>
      </c>
      <c r="S329">
        <f>COUNTIF($X$1:$X$9,R329) &gt; 0</f>
        <v/>
      </c>
      <c r="T329">
        <f>IF(AND(S329=FALSE,LEN(R329)&gt;2),4,IF(S329=TRUE,INDEX($Y$1:$Y$9,MATCH(R329,$X$1:$X$9,0)),""))</f>
        <v/>
      </c>
      <c r="U329">
        <f>IF(R329&lt;&gt;"",IF(Q334="",0,MATCH(TRUE,INDEX(Q334:$Q$1100="",0),0)-1),"")</f>
        <v/>
      </c>
      <c r="V329">
        <f>IF(AND(T329&lt;&gt;"",U329&lt;&gt;""),IF(U329-T329&lt;=0,"Falls Short",U329-T329),"")</f>
        <v/>
      </c>
      <c r="W329">
        <f>IF(AND(R329&lt;&gt;"",V329&lt;&gt;"Falls Short"),20*V329,"")</f>
        <v/>
      </c>
    </row>
    <row r="330">
      <c r="Q330">
        <f>LEFT(I330,9)</f>
        <v/>
      </c>
      <c r="R330">
        <f>TRIM(B330)</f>
        <v/>
      </c>
      <c r="S330">
        <f>COUNTIF($X$1:$X$9,R330) &gt; 0</f>
        <v/>
      </c>
      <c r="T330">
        <f>IF(AND(S330=FALSE,LEN(R330)&gt;2),4,IF(S330=TRUE,INDEX($Y$1:$Y$9,MATCH(R330,$X$1:$X$9,0)),""))</f>
        <v/>
      </c>
      <c r="U330">
        <f>IF(R330&lt;&gt;"",IF(Q335="",0,MATCH(TRUE,INDEX(Q335:$Q$1100="",0),0)-1),"")</f>
        <v/>
      </c>
      <c r="V330">
        <f>IF(AND(T330&lt;&gt;"",U330&lt;&gt;""),IF(U330-T330&lt;=0,"Falls Short",U330-T330),"")</f>
        <v/>
      </c>
      <c r="W330">
        <f>IF(AND(R330&lt;&gt;"",V330&lt;&gt;"Falls Short"),20*V330,"")</f>
        <v/>
      </c>
    </row>
    <row r="331">
      <c r="Q331">
        <f>LEFT(I331,9)</f>
        <v/>
      </c>
      <c r="R331">
        <f>TRIM(B331)</f>
        <v/>
      </c>
      <c r="S331">
        <f>COUNTIF($X$1:$X$9,R331) &gt; 0</f>
        <v/>
      </c>
      <c r="T331">
        <f>IF(AND(S331=FALSE,LEN(R331)&gt;2),4,IF(S331=TRUE,INDEX($Y$1:$Y$9,MATCH(R331,$X$1:$X$9,0)),""))</f>
        <v/>
      </c>
      <c r="U331">
        <f>IF(R331&lt;&gt;"",IF(Q336="",0,MATCH(TRUE,INDEX(Q336:$Q$1100="",0),0)-1),"")</f>
        <v/>
      </c>
      <c r="V331">
        <f>IF(AND(T331&lt;&gt;"",U331&lt;&gt;""),IF(U331-T331&lt;=0,"Falls Short",U331-T331),"")</f>
        <v/>
      </c>
      <c r="W331">
        <f>IF(AND(R331&lt;&gt;"",V331&lt;&gt;"Falls Short"),20*V331,"")</f>
        <v/>
      </c>
    </row>
    <row r="332">
      <c r="Q332">
        <f>LEFT(I332,9)</f>
        <v/>
      </c>
      <c r="R332">
        <f>TRIM(B332)</f>
        <v/>
      </c>
      <c r="S332">
        <f>COUNTIF($X$1:$X$9,R332) &gt; 0</f>
        <v/>
      </c>
      <c r="T332">
        <f>IF(AND(S332=FALSE,LEN(R332)&gt;2),4,IF(S332=TRUE,INDEX($Y$1:$Y$9,MATCH(R332,$X$1:$X$9,0)),""))</f>
        <v/>
      </c>
      <c r="U332">
        <f>IF(R332&lt;&gt;"",IF(Q337="",0,MATCH(TRUE,INDEX(Q337:$Q$1100="",0),0)-1),"")</f>
        <v/>
      </c>
      <c r="V332">
        <f>IF(AND(T332&lt;&gt;"",U332&lt;&gt;""),IF(U332-T332&lt;=0,"Falls Short",U332-T332),"")</f>
        <v/>
      </c>
      <c r="W332">
        <f>IF(AND(R332&lt;&gt;"",V332&lt;&gt;"Falls Short"),20*V332,"")</f>
        <v/>
      </c>
    </row>
    <row r="333">
      <c r="Q333">
        <f>LEFT(I333,9)</f>
        <v/>
      </c>
      <c r="R333">
        <f>TRIM(B333)</f>
        <v/>
      </c>
      <c r="S333">
        <f>COUNTIF($X$1:$X$9,R333) &gt; 0</f>
        <v/>
      </c>
      <c r="T333">
        <f>IF(AND(S333=FALSE,LEN(R333)&gt;2),4,IF(S333=TRUE,INDEX($Y$1:$Y$9,MATCH(R333,$X$1:$X$9,0)),""))</f>
        <v/>
      </c>
      <c r="U333">
        <f>IF(R333&lt;&gt;"",IF(Q338="",0,MATCH(TRUE,INDEX(Q338:$Q$1100="",0),0)-1),"")</f>
        <v/>
      </c>
      <c r="V333">
        <f>IF(AND(T333&lt;&gt;"",U333&lt;&gt;""),IF(U333-T333&lt;=0,"Falls Short",U333-T333),"")</f>
        <v/>
      </c>
      <c r="W333">
        <f>IF(AND(R333&lt;&gt;"",V333&lt;&gt;"Falls Short"),20*V333,"")</f>
        <v/>
      </c>
    </row>
    <row r="334">
      <c r="Q334">
        <f>LEFT(I334,9)</f>
        <v/>
      </c>
      <c r="R334">
        <f>TRIM(B334)</f>
        <v/>
      </c>
      <c r="S334">
        <f>COUNTIF($X$1:$X$9,R334) &gt; 0</f>
        <v/>
      </c>
      <c r="T334">
        <f>IF(AND(S334=FALSE,LEN(R334)&gt;2),4,IF(S334=TRUE,INDEX($Y$1:$Y$9,MATCH(R334,$X$1:$X$9,0)),""))</f>
        <v/>
      </c>
      <c r="U334">
        <f>IF(R334&lt;&gt;"",IF(Q339="",0,MATCH(TRUE,INDEX(Q339:$Q$1100="",0),0)-1),"")</f>
        <v/>
      </c>
      <c r="V334">
        <f>IF(AND(T334&lt;&gt;"",U334&lt;&gt;""),IF(U334-T334&lt;=0,"Falls Short",U334-T334),"")</f>
        <v/>
      </c>
      <c r="W334">
        <f>IF(AND(R334&lt;&gt;"",V334&lt;&gt;"Falls Short"),20*V334,"")</f>
        <v/>
      </c>
    </row>
    <row r="335">
      <c r="Q335">
        <f>LEFT(I335,9)</f>
        <v/>
      </c>
      <c r="R335">
        <f>TRIM(B335)</f>
        <v/>
      </c>
      <c r="S335">
        <f>COUNTIF($X$1:$X$9,R335) &gt; 0</f>
        <v/>
      </c>
      <c r="T335">
        <f>IF(AND(S335=FALSE,LEN(R335)&gt;2),4,IF(S335=TRUE,INDEX($Y$1:$Y$9,MATCH(R335,$X$1:$X$9,0)),""))</f>
        <v/>
      </c>
      <c r="U335">
        <f>IF(R335&lt;&gt;"",IF(Q340="",0,MATCH(TRUE,INDEX(Q340:$Q$1100="",0),0)-1),"")</f>
        <v/>
      </c>
      <c r="V335">
        <f>IF(AND(T335&lt;&gt;"",U335&lt;&gt;""),IF(U335-T335&lt;=0,"Falls Short",U335-T335),"")</f>
        <v/>
      </c>
      <c r="W335">
        <f>IF(AND(R335&lt;&gt;"",V335&lt;&gt;"Falls Short"),20*V335,"")</f>
        <v/>
      </c>
    </row>
    <row r="336">
      <c r="Q336">
        <f>LEFT(I336,9)</f>
        <v/>
      </c>
      <c r="R336">
        <f>TRIM(B336)</f>
        <v/>
      </c>
      <c r="S336">
        <f>COUNTIF($X$1:$X$9,R336) &gt; 0</f>
        <v/>
      </c>
      <c r="T336">
        <f>IF(AND(S336=FALSE,LEN(R336)&gt;2),4,IF(S336=TRUE,INDEX($Y$1:$Y$9,MATCH(R336,$X$1:$X$9,0)),""))</f>
        <v/>
      </c>
      <c r="U336">
        <f>IF(R336&lt;&gt;"",IF(Q341="",0,MATCH(TRUE,INDEX(Q341:$Q$1100="",0),0)-1),"")</f>
        <v/>
      </c>
      <c r="V336">
        <f>IF(AND(T336&lt;&gt;"",U336&lt;&gt;""),IF(U336-T336&lt;=0,"Falls Short",U336-T336),"")</f>
        <v/>
      </c>
      <c r="W336">
        <f>IF(AND(R336&lt;&gt;"",V336&lt;&gt;"Falls Short"),20*V336,"")</f>
        <v/>
      </c>
    </row>
    <row r="337">
      <c r="Q337">
        <f>LEFT(I337,9)</f>
        <v/>
      </c>
      <c r="R337">
        <f>TRIM(B337)</f>
        <v/>
      </c>
      <c r="S337">
        <f>COUNTIF($X$1:$X$9,R337) &gt; 0</f>
        <v/>
      </c>
      <c r="T337">
        <f>IF(AND(S337=FALSE,LEN(R337)&gt;2),4,IF(S337=TRUE,INDEX($Y$1:$Y$9,MATCH(R337,$X$1:$X$9,0)),""))</f>
        <v/>
      </c>
      <c r="U337">
        <f>IF(R337&lt;&gt;"",IF(Q342="",0,MATCH(TRUE,INDEX(Q342:$Q$1100="",0),0)-1),"")</f>
        <v/>
      </c>
      <c r="V337">
        <f>IF(AND(T337&lt;&gt;"",U337&lt;&gt;""),IF(U337-T337&lt;=0,"Falls Short",U337-T337),"")</f>
        <v/>
      </c>
      <c r="W337">
        <f>IF(AND(R337&lt;&gt;"",V337&lt;&gt;"Falls Short"),20*V337,"")</f>
        <v/>
      </c>
    </row>
    <row r="338">
      <c r="Q338">
        <f>LEFT(I338,9)</f>
        <v/>
      </c>
      <c r="R338">
        <f>TRIM(B338)</f>
        <v/>
      </c>
      <c r="S338">
        <f>COUNTIF($X$1:$X$9,R338) &gt; 0</f>
        <v/>
      </c>
      <c r="T338">
        <f>IF(AND(S338=FALSE,LEN(R338)&gt;2),4,IF(S338=TRUE,INDEX($Y$1:$Y$9,MATCH(R338,$X$1:$X$9,0)),""))</f>
        <v/>
      </c>
      <c r="U338">
        <f>IF(R338&lt;&gt;"",IF(Q343="",0,MATCH(TRUE,INDEX(Q343:$Q$1100="",0),0)-1),"")</f>
        <v/>
      </c>
      <c r="V338">
        <f>IF(AND(T338&lt;&gt;"",U338&lt;&gt;""),IF(U338-T338&lt;=0,"Falls Short",U338-T338),"")</f>
        <v/>
      </c>
      <c r="W338">
        <f>IF(AND(R338&lt;&gt;"",V338&lt;&gt;"Falls Short"),20*V338,"")</f>
        <v/>
      </c>
    </row>
    <row r="339">
      <c r="Q339">
        <f>LEFT(I339,9)</f>
        <v/>
      </c>
      <c r="R339">
        <f>TRIM(B339)</f>
        <v/>
      </c>
      <c r="S339">
        <f>COUNTIF($X$1:$X$9,R339) &gt; 0</f>
        <v/>
      </c>
      <c r="T339">
        <f>IF(AND(S339=FALSE,LEN(R339)&gt;2),4,IF(S339=TRUE,INDEX($Y$1:$Y$9,MATCH(R339,$X$1:$X$9,0)),""))</f>
        <v/>
      </c>
      <c r="U339">
        <f>IF(R339&lt;&gt;"",IF(Q344="",0,MATCH(TRUE,INDEX(Q344:$Q$1100="",0),0)-1),"")</f>
        <v/>
      </c>
      <c r="V339">
        <f>IF(AND(T339&lt;&gt;"",U339&lt;&gt;""),IF(U339-T339&lt;=0,"Falls Short",U339-T339),"")</f>
        <v/>
      </c>
      <c r="W339">
        <f>IF(AND(R339&lt;&gt;"",V339&lt;&gt;"Falls Short"),20*V339,"")</f>
        <v/>
      </c>
    </row>
    <row r="340">
      <c r="Q340">
        <f>LEFT(I340,9)</f>
        <v/>
      </c>
      <c r="R340">
        <f>TRIM(B340)</f>
        <v/>
      </c>
      <c r="S340">
        <f>COUNTIF($X$1:$X$9,R340) &gt; 0</f>
        <v/>
      </c>
      <c r="T340">
        <f>IF(AND(S340=FALSE,LEN(R340)&gt;2),4,IF(S340=TRUE,INDEX($Y$1:$Y$9,MATCH(R340,$X$1:$X$9,0)),""))</f>
        <v/>
      </c>
      <c r="U340">
        <f>IF(R340&lt;&gt;"",IF(Q345="",0,MATCH(TRUE,INDEX(Q345:$Q$1100="",0),0)-1),"")</f>
        <v/>
      </c>
      <c r="V340">
        <f>IF(AND(T340&lt;&gt;"",U340&lt;&gt;""),IF(U340-T340&lt;=0,"Falls Short",U340-T340),"")</f>
        <v/>
      </c>
      <c r="W340">
        <f>IF(AND(R340&lt;&gt;"",V340&lt;&gt;"Falls Short"),20*V340,"")</f>
        <v/>
      </c>
    </row>
    <row r="341">
      <c r="Q341">
        <f>LEFT(I341,9)</f>
        <v/>
      </c>
      <c r="R341">
        <f>TRIM(B341)</f>
        <v/>
      </c>
      <c r="S341">
        <f>COUNTIF($X$1:$X$9,R341) &gt; 0</f>
        <v/>
      </c>
      <c r="T341">
        <f>IF(AND(S341=FALSE,LEN(R341)&gt;2),4,IF(S341=TRUE,INDEX($Y$1:$Y$9,MATCH(R341,$X$1:$X$9,0)),""))</f>
        <v/>
      </c>
      <c r="U341">
        <f>IF(R341&lt;&gt;"",IF(Q346="",0,MATCH(TRUE,INDEX(Q346:$Q$1100="",0),0)-1),"")</f>
        <v/>
      </c>
      <c r="V341">
        <f>IF(AND(T341&lt;&gt;"",U341&lt;&gt;""),IF(U341-T341&lt;=0,"Falls Short",U341-T341),"")</f>
        <v/>
      </c>
      <c r="W341">
        <f>IF(AND(R341&lt;&gt;"",V341&lt;&gt;"Falls Short"),20*V341,"")</f>
        <v/>
      </c>
    </row>
    <row r="342">
      <c r="Q342">
        <f>LEFT(I342,9)</f>
        <v/>
      </c>
      <c r="R342">
        <f>TRIM(B342)</f>
        <v/>
      </c>
      <c r="S342">
        <f>COUNTIF($X$1:$X$9,R342) &gt; 0</f>
        <v/>
      </c>
      <c r="T342">
        <f>IF(AND(S342=FALSE,LEN(R342)&gt;2),4,IF(S342=TRUE,INDEX($Y$1:$Y$9,MATCH(R342,$X$1:$X$9,0)),""))</f>
        <v/>
      </c>
      <c r="U342">
        <f>IF(R342&lt;&gt;"",IF(Q347="",0,MATCH(TRUE,INDEX(Q347:$Q$1100="",0),0)-1),"")</f>
        <v/>
      </c>
      <c r="V342">
        <f>IF(AND(T342&lt;&gt;"",U342&lt;&gt;""),IF(U342-T342&lt;=0,"Falls Short",U342-T342),"")</f>
        <v/>
      </c>
      <c r="W342">
        <f>IF(AND(R342&lt;&gt;"",V342&lt;&gt;"Falls Short"),20*V342,"")</f>
        <v/>
      </c>
    </row>
    <row r="343">
      <c r="Q343">
        <f>LEFT(I343,9)</f>
        <v/>
      </c>
      <c r="R343">
        <f>TRIM(B343)</f>
        <v/>
      </c>
      <c r="S343">
        <f>COUNTIF($X$1:$X$9,R343) &gt; 0</f>
        <v/>
      </c>
      <c r="T343">
        <f>IF(AND(S343=FALSE,LEN(R343)&gt;2),4,IF(S343=TRUE,INDEX($Y$1:$Y$9,MATCH(R343,$X$1:$X$9,0)),""))</f>
        <v/>
      </c>
      <c r="U343">
        <f>IF(R343&lt;&gt;"",IF(Q348="",0,MATCH(TRUE,INDEX(Q348:$Q$1100="",0),0)-1),"")</f>
        <v/>
      </c>
      <c r="V343">
        <f>IF(AND(T343&lt;&gt;"",U343&lt;&gt;""),IF(U343-T343&lt;=0,"Falls Short",U343-T343),"")</f>
        <v/>
      </c>
      <c r="W343">
        <f>IF(AND(R343&lt;&gt;"",V343&lt;&gt;"Falls Short"),20*V343,"")</f>
        <v/>
      </c>
    </row>
    <row r="344">
      <c r="Q344">
        <f>LEFT(I344,9)</f>
        <v/>
      </c>
      <c r="R344">
        <f>TRIM(B344)</f>
        <v/>
      </c>
      <c r="S344">
        <f>COUNTIF($X$1:$X$9,R344) &gt; 0</f>
        <v/>
      </c>
      <c r="T344">
        <f>IF(AND(S344=FALSE,LEN(R344)&gt;2),4,IF(S344=TRUE,INDEX($Y$1:$Y$9,MATCH(R344,$X$1:$X$9,0)),""))</f>
        <v/>
      </c>
      <c r="U344">
        <f>IF(R344&lt;&gt;"",IF(Q349="",0,MATCH(TRUE,INDEX(Q349:$Q$1100="",0),0)-1),"")</f>
        <v/>
      </c>
      <c r="V344">
        <f>IF(AND(T344&lt;&gt;"",U344&lt;&gt;""),IF(U344-T344&lt;=0,"Falls Short",U344-T344),"")</f>
        <v/>
      </c>
      <c r="W344">
        <f>IF(AND(R344&lt;&gt;"",V344&lt;&gt;"Falls Short"),20*V344,"")</f>
        <v/>
      </c>
    </row>
    <row r="345">
      <c r="Q345">
        <f>LEFT(I345,9)</f>
        <v/>
      </c>
      <c r="R345">
        <f>TRIM(B345)</f>
        <v/>
      </c>
      <c r="S345">
        <f>COUNTIF($X$1:$X$9,R345) &gt; 0</f>
        <v/>
      </c>
      <c r="T345">
        <f>IF(AND(S345=FALSE,LEN(R345)&gt;2),4,IF(S345=TRUE,INDEX($Y$1:$Y$9,MATCH(R345,$X$1:$X$9,0)),""))</f>
        <v/>
      </c>
      <c r="U345">
        <f>IF(R345&lt;&gt;"",IF(Q350="",0,MATCH(TRUE,INDEX(Q350:$Q$1100="",0),0)-1),"")</f>
        <v/>
      </c>
      <c r="V345">
        <f>IF(AND(T345&lt;&gt;"",U345&lt;&gt;""),IF(U345-T345&lt;=0,"Falls Short",U345-T345),"")</f>
        <v/>
      </c>
      <c r="W345">
        <f>IF(AND(R345&lt;&gt;"",V345&lt;&gt;"Falls Short"),20*V345,"")</f>
        <v/>
      </c>
    </row>
    <row r="346">
      <c r="Q346">
        <f>LEFT(I346,9)</f>
        <v/>
      </c>
      <c r="R346">
        <f>TRIM(B346)</f>
        <v/>
      </c>
      <c r="S346">
        <f>COUNTIF($X$1:$X$9,R346) &gt; 0</f>
        <v/>
      </c>
      <c r="T346">
        <f>IF(AND(S346=FALSE,LEN(R346)&gt;2),4,IF(S346=TRUE,INDEX($Y$1:$Y$9,MATCH(R346,$X$1:$X$9,0)),""))</f>
        <v/>
      </c>
      <c r="U346">
        <f>IF(R346&lt;&gt;"",IF(Q351="",0,MATCH(TRUE,INDEX(Q351:$Q$1100="",0),0)-1),"")</f>
        <v/>
      </c>
      <c r="V346">
        <f>IF(AND(T346&lt;&gt;"",U346&lt;&gt;""),IF(U346-T346&lt;=0,"Falls Short",U346-T346),"")</f>
        <v/>
      </c>
      <c r="W346">
        <f>IF(AND(R346&lt;&gt;"",V346&lt;&gt;"Falls Short"),20*V346,"")</f>
        <v/>
      </c>
    </row>
    <row r="347">
      <c r="Q347">
        <f>LEFT(I347,9)</f>
        <v/>
      </c>
      <c r="R347">
        <f>TRIM(B347)</f>
        <v/>
      </c>
      <c r="S347">
        <f>COUNTIF($X$1:$X$9,R347) &gt; 0</f>
        <v/>
      </c>
      <c r="T347">
        <f>IF(AND(S347=FALSE,LEN(R347)&gt;2),4,IF(S347=TRUE,INDEX($Y$1:$Y$9,MATCH(R347,$X$1:$X$9,0)),""))</f>
        <v/>
      </c>
      <c r="U347">
        <f>IF(R347&lt;&gt;"",IF(Q352="",0,MATCH(TRUE,INDEX(Q352:$Q$1100="",0),0)-1),"")</f>
        <v/>
      </c>
      <c r="V347">
        <f>IF(AND(T347&lt;&gt;"",U347&lt;&gt;""),IF(U347-T347&lt;=0,"Falls Short",U347-T347),"")</f>
        <v/>
      </c>
      <c r="W347">
        <f>IF(AND(R347&lt;&gt;"",V347&lt;&gt;"Falls Short"),20*V347,"")</f>
        <v/>
      </c>
    </row>
    <row r="348">
      <c r="Q348">
        <f>LEFT(I348,9)</f>
        <v/>
      </c>
      <c r="R348">
        <f>TRIM(B348)</f>
        <v/>
      </c>
      <c r="S348">
        <f>COUNTIF($X$1:$X$9,R348) &gt; 0</f>
        <v/>
      </c>
      <c r="T348">
        <f>IF(AND(S348=FALSE,LEN(R348)&gt;2),4,IF(S348=TRUE,INDEX($Y$1:$Y$9,MATCH(R348,$X$1:$X$9,0)),""))</f>
        <v/>
      </c>
      <c r="U348">
        <f>IF(R348&lt;&gt;"",IF(Q353="",0,MATCH(TRUE,INDEX(Q353:$Q$1100="",0),0)-1),"")</f>
        <v/>
      </c>
      <c r="V348">
        <f>IF(AND(T348&lt;&gt;"",U348&lt;&gt;""),IF(U348-T348&lt;=0,"Falls Short",U348-T348),"")</f>
        <v/>
      </c>
      <c r="W348">
        <f>IF(AND(R348&lt;&gt;"",V348&lt;&gt;"Falls Short"),20*V348,"")</f>
        <v/>
      </c>
    </row>
    <row r="349">
      <c r="Q349">
        <f>LEFT(I349,9)</f>
        <v/>
      </c>
      <c r="R349">
        <f>TRIM(B349)</f>
        <v/>
      </c>
      <c r="S349">
        <f>COUNTIF($X$1:$X$9,R349) &gt; 0</f>
        <v/>
      </c>
      <c r="T349">
        <f>IF(AND(S349=FALSE,LEN(R349)&gt;2),4,IF(S349=TRUE,INDEX($Y$1:$Y$9,MATCH(R349,$X$1:$X$9,0)),""))</f>
        <v/>
      </c>
      <c r="U349">
        <f>IF(R349&lt;&gt;"",IF(Q354="",0,MATCH(TRUE,INDEX(Q354:$Q$1100="",0),0)-1),"")</f>
        <v/>
      </c>
      <c r="V349">
        <f>IF(AND(T349&lt;&gt;"",U349&lt;&gt;""),IF(U349-T349&lt;=0,"Falls Short",U349-T349),"")</f>
        <v/>
      </c>
      <c r="W349">
        <f>IF(AND(R349&lt;&gt;"",V349&lt;&gt;"Falls Short"),20*V349,"")</f>
        <v/>
      </c>
    </row>
    <row r="350">
      <c r="Q350">
        <f>LEFT(I350,9)</f>
        <v/>
      </c>
      <c r="R350">
        <f>TRIM(B350)</f>
        <v/>
      </c>
      <c r="S350">
        <f>COUNTIF($X$1:$X$9,R350) &gt; 0</f>
        <v/>
      </c>
      <c r="T350">
        <f>IF(AND(S350=FALSE,LEN(R350)&gt;2),4,IF(S350=TRUE,INDEX($Y$1:$Y$9,MATCH(R350,$X$1:$X$9,0)),""))</f>
        <v/>
      </c>
      <c r="U350">
        <f>IF(R350&lt;&gt;"",IF(Q355="",0,MATCH(TRUE,INDEX(Q355:$Q$1100="",0),0)-1),"")</f>
        <v/>
      </c>
      <c r="V350">
        <f>IF(AND(T350&lt;&gt;"",U350&lt;&gt;""),IF(U350-T350&lt;=0,"Falls Short",U350-T350),"")</f>
        <v/>
      </c>
      <c r="W350">
        <f>IF(AND(R350&lt;&gt;"",V350&lt;&gt;"Falls Short"),20*V350,"")</f>
        <v/>
      </c>
    </row>
    <row r="351">
      <c r="Q351">
        <f>LEFT(I351,9)</f>
        <v/>
      </c>
      <c r="R351">
        <f>TRIM(B351)</f>
        <v/>
      </c>
      <c r="S351">
        <f>COUNTIF($X$1:$X$9,R351) &gt; 0</f>
        <v/>
      </c>
      <c r="T351">
        <f>IF(AND(S351=FALSE,LEN(R351)&gt;2),4,IF(S351=TRUE,INDEX($Y$1:$Y$9,MATCH(R351,$X$1:$X$9,0)),""))</f>
        <v/>
      </c>
      <c r="U351">
        <f>IF(R351&lt;&gt;"",IF(Q356="",0,MATCH(TRUE,INDEX(Q356:$Q$1100="",0),0)-1),"")</f>
        <v/>
      </c>
      <c r="V351">
        <f>IF(AND(T351&lt;&gt;"",U351&lt;&gt;""),IF(U351-T351&lt;=0,"Falls Short",U351-T351),"")</f>
        <v/>
      </c>
      <c r="W351">
        <f>IF(AND(R351&lt;&gt;"",V351&lt;&gt;"Falls Short"),20*V351,"")</f>
        <v/>
      </c>
    </row>
    <row r="352">
      <c r="Q352">
        <f>LEFT(I352,9)</f>
        <v/>
      </c>
      <c r="R352">
        <f>TRIM(B352)</f>
        <v/>
      </c>
      <c r="S352">
        <f>COUNTIF($X$1:$X$9,R352) &gt; 0</f>
        <v/>
      </c>
      <c r="T352">
        <f>IF(AND(S352=FALSE,LEN(R352)&gt;2),4,IF(S352=TRUE,INDEX($Y$1:$Y$9,MATCH(R352,$X$1:$X$9,0)),""))</f>
        <v/>
      </c>
      <c r="U352">
        <f>IF(R352&lt;&gt;"",IF(Q357="",0,MATCH(TRUE,INDEX(Q357:$Q$1100="",0),0)-1),"")</f>
        <v/>
      </c>
      <c r="V352">
        <f>IF(AND(T352&lt;&gt;"",U352&lt;&gt;""),IF(U352-T352&lt;=0,"Falls Short",U352-T352),"")</f>
        <v/>
      </c>
      <c r="W352">
        <f>IF(AND(R352&lt;&gt;"",V352&lt;&gt;"Falls Short"),20*V352,"")</f>
        <v/>
      </c>
    </row>
    <row r="353">
      <c r="Q353">
        <f>LEFT(I353,9)</f>
        <v/>
      </c>
      <c r="R353">
        <f>TRIM(B353)</f>
        <v/>
      </c>
      <c r="S353">
        <f>COUNTIF($X$1:$X$9,R353) &gt; 0</f>
        <v/>
      </c>
      <c r="T353">
        <f>IF(AND(S353=FALSE,LEN(R353)&gt;2),4,IF(S353=TRUE,INDEX($Y$1:$Y$9,MATCH(R353,$X$1:$X$9,0)),""))</f>
        <v/>
      </c>
      <c r="U353">
        <f>IF(R353&lt;&gt;"",IF(Q358="",0,MATCH(TRUE,INDEX(Q358:$Q$1100="",0),0)-1),"")</f>
        <v/>
      </c>
      <c r="V353">
        <f>IF(AND(T353&lt;&gt;"",U353&lt;&gt;""),IF(U353-T353&lt;=0,"Falls Short",U353-T353),"")</f>
        <v/>
      </c>
      <c r="W353">
        <f>IF(AND(R353&lt;&gt;"",V353&lt;&gt;"Falls Short"),20*V353,"")</f>
        <v/>
      </c>
    </row>
    <row r="354">
      <c r="Q354">
        <f>LEFT(I354,9)</f>
        <v/>
      </c>
      <c r="R354">
        <f>TRIM(B354)</f>
        <v/>
      </c>
      <c r="S354">
        <f>COUNTIF($X$1:$X$9,R354) &gt; 0</f>
        <v/>
      </c>
      <c r="T354">
        <f>IF(AND(S354=FALSE,LEN(R354)&gt;2),4,IF(S354=TRUE,INDEX($Y$1:$Y$9,MATCH(R354,$X$1:$X$9,0)),""))</f>
        <v/>
      </c>
      <c r="U354">
        <f>IF(R354&lt;&gt;"",IF(Q359="",0,MATCH(TRUE,INDEX(Q359:$Q$1100="",0),0)-1),"")</f>
        <v/>
      </c>
      <c r="V354">
        <f>IF(AND(T354&lt;&gt;"",U354&lt;&gt;""),IF(U354-T354&lt;=0,"Falls Short",U354-T354),"")</f>
        <v/>
      </c>
      <c r="W354">
        <f>IF(AND(R354&lt;&gt;"",V354&lt;&gt;"Falls Short"),20*V354,"")</f>
        <v/>
      </c>
    </row>
    <row r="355">
      <c r="Q355">
        <f>LEFT(I355,9)</f>
        <v/>
      </c>
      <c r="R355">
        <f>TRIM(B355)</f>
        <v/>
      </c>
      <c r="S355">
        <f>COUNTIF($X$1:$X$9,R355) &gt; 0</f>
        <v/>
      </c>
      <c r="T355">
        <f>IF(AND(S355=FALSE,LEN(R355)&gt;2),4,IF(S355=TRUE,INDEX($Y$1:$Y$9,MATCH(R355,$X$1:$X$9,0)),""))</f>
        <v/>
      </c>
      <c r="U355">
        <f>IF(R355&lt;&gt;"",IF(Q360="",0,MATCH(TRUE,INDEX(Q360:$Q$1100="",0),0)-1),"")</f>
        <v/>
      </c>
      <c r="V355">
        <f>IF(AND(T355&lt;&gt;"",U355&lt;&gt;""),IF(U355-T355&lt;=0,"Falls Short",U355-T355),"")</f>
        <v/>
      </c>
      <c r="W355">
        <f>IF(AND(R355&lt;&gt;"",V355&lt;&gt;"Falls Short"),20*V355,"")</f>
        <v/>
      </c>
    </row>
    <row r="356">
      <c r="Q356">
        <f>LEFT(I356,9)</f>
        <v/>
      </c>
      <c r="R356">
        <f>TRIM(B356)</f>
        <v/>
      </c>
      <c r="S356">
        <f>COUNTIF($X$1:$X$9,R356) &gt; 0</f>
        <v/>
      </c>
      <c r="T356">
        <f>IF(AND(S356=FALSE,LEN(R356)&gt;2),4,IF(S356=TRUE,INDEX($Y$1:$Y$9,MATCH(R356,$X$1:$X$9,0)),""))</f>
        <v/>
      </c>
      <c r="U356">
        <f>IF(R356&lt;&gt;"",IF(Q361="",0,MATCH(TRUE,INDEX(Q361:$Q$1100="",0),0)-1),"")</f>
        <v/>
      </c>
      <c r="V356">
        <f>IF(AND(T356&lt;&gt;"",U356&lt;&gt;""),IF(U356-T356&lt;=0,"Falls Short",U356-T356),"")</f>
        <v/>
      </c>
      <c r="W356">
        <f>IF(AND(R356&lt;&gt;"",V356&lt;&gt;"Falls Short"),20*V356,"")</f>
        <v/>
      </c>
    </row>
    <row r="357">
      <c r="Q357">
        <f>LEFT(I357,9)</f>
        <v/>
      </c>
      <c r="R357">
        <f>TRIM(B357)</f>
        <v/>
      </c>
      <c r="S357">
        <f>COUNTIF($X$1:$X$9,R357) &gt; 0</f>
        <v/>
      </c>
      <c r="T357">
        <f>IF(AND(S357=FALSE,LEN(R357)&gt;2),4,IF(S357=TRUE,INDEX($Y$1:$Y$9,MATCH(R357,$X$1:$X$9,0)),""))</f>
        <v/>
      </c>
      <c r="U357">
        <f>IF(R357&lt;&gt;"",IF(Q362="",0,MATCH(TRUE,INDEX(Q362:$Q$1100="",0),0)-1),"")</f>
        <v/>
      </c>
      <c r="V357">
        <f>IF(AND(T357&lt;&gt;"",U357&lt;&gt;""),IF(U357-T357&lt;=0,"Falls Short",U357-T357),"")</f>
        <v/>
      </c>
      <c r="W357">
        <f>IF(AND(R357&lt;&gt;"",V357&lt;&gt;"Falls Short"),20*V357,"")</f>
        <v/>
      </c>
    </row>
    <row r="358">
      <c r="Q358">
        <f>LEFT(I358,9)</f>
        <v/>
      </c>
      <c r="R358">
        <f>TRIM(B358)</f>
        <v/>
      </c>
      <c r="S358">
        <f>COUNTIF($X$1:$X$9,R358) &gt; 0</f>
        <v/>
      </c>
      <c r="T358">
        <f>IF(AND(S358=FALSE,LEN(R358)&gt;2),4,IF(S358=TRUE,INDEX($Y$1:$Y$9,MATCH(R358,$X$1:$X$9,0)),""))</f>
        <v/>
      </c>
      <c r="U358">
        <f>IF(R358&lt;&gt;"",IF(Q363="",0,MATCH(TRUE,INDEX(Q363:$Q$1100="",0),0)-1),"")</f>
        <v/>
      </c>
      <c r="V358">
        <f>IF(AND(T358&lt;&gt;"",U358&lt;&gt;""),IF(U358-T358&lt;=0,"Falls Short",U358-T358),"")</f>
        <v/>
      </c>
      <c r="W358">
        <f>IF(AND(R358&lt;&gt;"",V358&lt;&gt;"Falls Short"),20*V358,"")</f>
        <v/>
      </c>
    </row>
    <row r="359">
      <c r="Q359">
        <f>LEFT(I359,9)</f>
        <v/>
      </c>
      <c r="R359">
        <f>TRIM(B359)</f>
        <v/>
      </c>
      <c r="S359">
        <f>COUNTIF($X$1:$X$9,R359) &gt; 0</f>
        <v/>
      </c>
      <c r="T359">
        <f>IF(AND(S359=FALSE,LEN(R359)&gt;2),4,IF(S359=TRUE,INDEX($Y$1:$Y$9,MATCH(R359,$X$1:$X$9,0)),""))</f>
        <v/>
      </c>
      <c r="U359">
        <f>IF(R359&lt;&gt;"",IF(Q364="",0,MATCH(TRUE,INDEX(Q364:$Q$1100="",0),0)-1),"")</f>
        <v/>
      </c>
      <c r="V359">
        <f>IF(AND(T359&lt;&gt;"",U359&lt;&gt;""),IF(U359-T359&lt;=0,"Falls Short",U359-T359),"")</f>
        <v/>
      </c>
      <c r="W359">
        <f>IF(AND(R359&lt;&gt;"",V359&lt;&gt;"Falls Short"),20*V359,"")</f>
        <v/>
      </c>
    </row>
    <row r="360">
      <c r="Q360">
        <f>LEFT(I360,9)</f>
        <v/>
      </c>
      <c r="R360">
        <f>TRIM(B360)</f>
        <v/>
      </c>
      <c r="S360">
        <f>COUNTIF($X$1:$X$9,R360) &gt; 0</f>
        <v/>
      </c>
      <c r="T360">
        <f>IF(AND(S360=FALSE,LEN(R360)&gt;2),4,IF(S360=TRUE,INDEX($Y$1:$Y$9,MATCH(R360,$X$1:$X$9,0)),""))</f>
        <v/>
      </c>
      <c r="U360">
        <f>IF(R360&lt;&gt;"",IF(Q365="",0,MATCH(TRUE,INDEX(Q365:$Q$1100="",0),0)-1),"")</f>
        <v/>
      </c>
      <c r="V360">
        <f>IF(AND(T360&lt;&gt;"",U360&lt;&gt;""),IF(U360-T360&lt;=0,"Falls Short",U360-T360),"")</f>
        <v/>
      </c>
      <c r="W360">
        <f>IF(AND(R360&lt;&gt;"",V360&lt;&gt;"Falls Short"),20*V360,"")</f>
        <v/>
      </c>
    </row>
    <row r="361">
      <c r="Q361">
        <f>LEFT(I361,9)</f>
        <v/>
      </c>
      <c r="R361">
        <f>TRIM(B361)</f>
        <v/>
      </c>
      <c r="S361">
        <f>COUNTIF($X$1:$X$9,R361) &gt; 0</f>
        <v/>
      </c>
      <c r="T361">
        <f>IF(AND(S361=FALSE,LEN(R361)&gt;2),4,IF(S361=TRUE,INDEX($Y$1:$Y$9,MATCH(R361,$X$1:$X$9,0)),""))</f>
        <v/>
      </c>
      <c r="U361">
        <f>IF(R361&lt;&gt;"",IF(Q366="",0,MATCH(TRUE,INDEX(Q366:$Q$1100="",0),0)-1),"")</f>
        <v/>
      </c>
      <c r="V361">
        <f>IF(AND(T361&lt;&gt;"",U361&lt;&gt;""),IF(U361-T361&lt;=0,"Falls Short",U361-T361),"")</f>
        <v/>
      </c>
      <c r="W361">
        <f>IF(AND(R361&lt;&gt;"",V361&lt;&gt;"Falls Short"),20*V361,"")</f>
        <v/>
      </c>
    </row>
    <row r="362">
      <c r="Q362">
        <f>LEFT(I362,9)</f>
        <v/>
      </c>
      <c r="R362">
        <f>TRIM(B362)</f>
        <v/>
      </c>
      <c r="S362">
        <f>COUNTIF($X$1:$X$9,R362) &gt; 0</f>
        <v/>
      </c>
      <c r="T362">
        <f>IF(AND(S362=FALSE,LEN(R362)&gt;2),4,IF(S362=TRUE,INDEX($Y$1:$Y$9,MATCH(R362,$X$1:$X$9,0)),""))</f>
        <v/>
      </c>
      <c r="U362">
        <f>IF(R362&lt;&gt;"",IF(Q367="",0,MATCH(TRUE,INDEX(Q367:$Q$1100="",0),0)-1),"")</f>
        <v/>
      </c>
      <c r="V362">
        <f>IF(AND(T362&lt;&gt;"",U362&lt;&gt;""),IF(U362-T362&lt;=0,"Falls Short",U362-T362),"")</f>
        <v/>
      </c>
      <c r="W362">
        <f>IF(AND(R362&lt;&gt;"",V362&lt;&gt;"Falls Short"),20*V362,"")</f>
        <v/>
      </c>
    </row>
    <row r="363">
      <c r="Q363">
        <f>LEFT(I363,9)</f>
        <v/>
      </c>
      <c r="R363">
        <f>TRIM(B363)</f>
        <v/>
      </c>
      <c r="S363">
        <f>COUNTIF($X$1:$X$9,R363) &gt; 0</f>
        <v/>
      </c>
      <c r="T363">
        <f>IF(AND(S363=FALSE,LEN(R363)&gt;2),4,IF(S363=TRUE,INDEX($Y$1:$Y$9,MATCH(R363,$X$1:$X$9,0)),""))</f>
        <v/>
      </c>
      <c r="U363">
        <f>IF(R363&lt;&gt;"",IF(Q368="",0,MATCH(TRUE,INDEX(Q368:$Q$1100="",0),0)-1),"")</f>
        <v/>
      </c>
      <c r="V363">
        <f>IF(AND(T363&lt;&gt;"",U363&lt;&gt;""),IF(U363-T363&lt;=0,"Falls Short",U363-T363),"")</f>
        <v/>
      </c>
      <c r="W363">
        <f>IF(AND(R363&lt;&gt;"",V363&lt;&gt;"Falls Short"),20*V363,"")</f>
        <v/>
      </c>
    </row>
    <row r="364">
      <c r="Q364">
        <f>LEFT(I364,9)</f>
        <v/>
      </c>
      <c r="R364">
        <f>TRIM(B364)</f>
        <v/>
      </c>
      <c r="S364">
        <f>COUNTIF($X$1:$X$9,R364) &gt; 0</f>
        <v/>
      </c>
      <c r="T364">
        <f>IF(AND(S364=FALSE,LEN(R364)&gt;2),4,IF(S364=TRUE,INDEX($Y$1:$Y$9,MATCH(R364,$X$1:$X$9,0)),""))</f>
        <v/>
      </c>
      <c r="U364">
        <f>IF(R364&lt;&gt;"",IF(Q369="",0,MATCH(TRUE,INDEX(Q369:$Q$1100="",0),0)-1),"")</f>
        <v/>
      </c>
      <c r="V364">
        <f>IF(AND(T364&lt;&gt;"",U364&lt;&gt;""),IF(U364-T364&lt;=0,"Falls Short",U364-T364),"")</f>
        <v/>
      </c>
      <c r="W364">
        <f>IF(AND(R364&lt;&gt;"",V364&lt;&gt;"Falls Short"),20*V364,"")</f>
        <v/>
      </c>
    </row>
    <row r="365">
      <c r="Q365">
        <f>LEFT(I365,9)</f>
        <v/>
      </c>
      <c r="R365">
        <f>TRIM(B365)</f>
        <v/>
      </c>
      <c r="S365">
        <f>COUNTIF($X$1:$X$9,R365) &gt; 0</f>
        <v/>
      </c>
      <c r="T365">
        <f>IF(AND(S365=FALSE,LEN(R365)&gt;2),4,IF(S365=TRUE,INDEX($Y$1:$Y$9,MATCH(R365,$X$1:$X$9,0)),""))</f>
        <v/>
      </c>
      <c r="U365">
        <f>IF(R365&lt;&gt;"",IF(Q370="",0,MATCH(TRUE,INDEX(Q370:$Q$1100="",0),0)-1),"")</f>
        <v/>
      </c>
      <c r="V365">
        <f>IF(AND(T365&lt;&gt;"",U365&lt;&gt;""),IF(U365-T365&lt;=0,"Falls Short",U365-T365),"")</f>
        <v/>
      </c>
      <c r="W365">
        <f>IF(AND(R365&lt;&gt;"",V365&lt;&gt;"Falls Short"),20*V365,"")</f>
        <v/>
      </c>
    </row>
    <row r="366">
      <c r="Q366">
        <f>LEFT(I366,9)</f>
        <v/>
      </c>
      <c r="R366">
        <f>TRIM(B366)</f>
        <v/>
      </c>
      <c r="S366">
        <f>COUNTIF($X$1:$X$9,R366) &gt; 0</f>
        <v/>
      </c>
      <c r="T366">
        <f>IF(AND(S366=FALSE,LEN(R366)&gt;2),4,IF(S366=TRUE,INDEX($Y$1:$Y$9,MATCH(R366,$X$1:$X$9,0)),""))</f>
        <v/>
      </c>
      <c r="U366">
        <f>IF(R366&lt;&gt;"",IF(Q371="",0,MATCH(TRUE,INDEX(Q371:$Q$1100="",0),0)-1),"")</f>
        <v/>
      </c>
      <c r="V366">
        <f>IF(AND(T366&lt;&gt;"",U366&lt;&gt;""),IF(U366-T366&lt;=0,"Falls Short",U366-T366),"")</f>
        <v/>
      </c>
      <c r="W366">
        <f>IF(AND(R366&lt;&gt;"",V366&lt;&gt;"Falls Short"),20*V366,"")</f>
        <v/>
      </c>
    </row>
    <row r="367">
      <c r="Q367">
        <f>LEFT(I367,9)</f>
        <v/>
      </c>
      <c r="R367">
        <f>TRIM(B367)</f>
        <v/>
      </c>
      <c r="S367">
        <f>COUNTIF($X$1:$X$9,R367) &gt; 0</f>
        <v/>
      </c>
      <c r="T367">
        <f>IF(AND(S367=FALSE,LEN(R367)&gt;2),4,IF(S367=TRUE,INDEX($Y$1:$Y$9,MATCH(R367,$X$1:$X$9,0)),""))</f>
        <v/>
      </c>
      <c r="U367">
        <f>IF(R367&lt;&gt;"",IF(Q372="",0,MATCH(TRUE,INDEX(Q372:$Q$1100="",0),0)-1),"")</f>
        <v/>
      </c>
      <c r="V367">
        <f>IF(AND(T367&lt;&gt;"",U367&lt;&gt;""),IF(U367-T367&lt;=0,"Falls Short",U367-T367),"")</f>
        <v/>
      </c>
      <c r="W367">
        <f>IF(AND(R367&lt;&gt;"",V367&lt;&gt;"Falls Short"),20*V367,"")</f>
        <v/>
      </c>
    </row>
    <row r="368">
      <c r="Q368">
        <f>LEFT(I368,9)</f>
        <v/>
      </c>
      <c r="R368">
        <f>TRIM(B368)</f>
        <v/>
      </c>
      <c r="S368">
        <f>COUNTIF($X$1:$X$9,R368) &gt; 0</f>
        <v/>
      </c>
      <c r="T368">
        <f>IF(AND(S368=FALSE,LEN(R368)&gt;2),4,IF(S368=TRUE,INDEX($Y$1:$Y$9,MATCH(R368,$X$1:$X$9,0)),""))</f>
        <v/>
      </c>
      <c r="U368">
        <f>IF(R368&lt;&gt;"",IF(Q373="",0,MATCH(TRUE,INDEX(Q373:$Q$1100="",0),0)-1),"")</f>
        <v/>
      </c>
      <c r="V368">
        <f>IF(AND(T368&lt;&gt;"",U368&lt;&gt;""),IF(U368-T368&lt;=0,"Falls Short",U368-T368),"")</f>
        <v/>
      </c>
      <c r="W368">
        <f>IF(AND(R368&lt;&gt;"",V368&lt;&gt;"Falls Short"),20*V368,"")</f>
        <v/>
      </c>
    </row>
    <row r="369">
      <c r="Q369">
        <f>LEFT(I369,9)</f>
        <v/>
      </c>
      <c r="R369">
        <f>TRIM(B369)</f>
        <v/>
      </c>
      <c r="S369">
        <f>COUNTIF($X$1:$X$9,R369) &gt; 0</f>
        <v/>
      </c>
      <c r="T369">
        <f>IF(AND(S369=FALSE,LEN(R369)&gt;2),4,IF(S369=TRUE,INDEX($Y$1:$Y$9,MATCH(R369,$X$1:$X$9,0)),""))</f>
        <v/>
      </c>
      <c r="U369">
        <f>IF(R369&lt;&gt;"",IF(Q374="",0,MATCH(TRUE,INDEX(Q374:$Q$1100="",0),0)-1),"")</f>
        <v/>
      </c>
      <c r="V369">
        <f>IF(AND(T369&lt;&gt;"",U369&lt;&gt;""),IF(U369-T369&lt;=0,"Falls Short",U369-T369),"")</f>
        <v/>
      </c>
      <c r="W369">
        <f>IF(AND(R369&lt;&gt;"",V369&lt;&gt;"Falls Short"),20*V369,"")</f>
        <v/>
      </c>
    </row>
    <row r="370">
      <c r="Q370">
        <f>LEFT(I370,9)</f>
        <v/>
      </c>
      <c r="R370">
        <f>TRIM(B370)</f>
        <v/>
      </c>
      <c r="S370">
        <f>COUNTIF($X$1:$X$9,R370) &gt; 0</f>
        <v/>
      </c>
      <c r="T370">
        <f>IF(AND(S370=FALSE,LEN(R370)&gt;2),4,IF(S370=TRUE,INDEX($Y$1:$Y$9,MATCH(R370,$X$1:$X$9,0)),""))</f>
        <v/>
      </c>
      <c r="U370">
        <f>IF(R370&lt;&gt;"",IF(Q375="",0,MATCH(TRUE,INDEX(Q375:$Q$1100="",0),0)-1),"")</f>
        <v/>
      </c>
      <c r="V370">
        <f>IF(AND(T370&lt;&gt;"",U370&lt;&gt;""),IF(U370-T370&lt;=0,"Falls Short",U370-T370),"")</f>
        <v/>
      </c>
      <c r="W370">
        <f>IF(AND(R370&lt;&gt;"",V370&lt;&gt;"Falls Short"),20*V370,"")</f>
        <v/>
      </c>
    </row>
    <row r="371">
      <c r="Q371">
        <f>LEFT(I371,9)</f>
        <v/>
      </c>
      <c r="R371">
        <f>TRIM(B371)</f>
        <v/>
      </c>
      <c r="S371">
        <f>COUNTIF($X$1:$X$9,R371) &gt; 0</f>
        <v/>
      </c>
      <c r="T371">
        <f>IF(AND(S371=FALSE,LEN(R371)&gt;2),4,IF(S371=TRUE,INDEX($Y$1:$Y$9,MATCH(R371,$X$1:$X$9,0)),""))</f>
        <v/>
      </c>
      <c r="U371">
        <f>IF(R371&lt;&gt;"",IF(Q376="",0,MATCH(TRUE,INDEX(Q376:$Q$1100="",0),0)-1),"")</f>
        <v/>
      </c>
      <c r="V371">
        <f>IF(AND(T371&lt;&gt;"",U371&lt;&gt;""),IF(U371-T371&lt;=0,"Falls Short",U371-T371),"")</f>
        <v/>
      </c>
      <c r="W371">
        <f>IF(AND(R371&lt;&gt;"",V371&lt;&gt;"Falls Short"),20*V371,"")</f>
        <v/>
      </c>
    </row>
    <row r="372">
      <c r="Q372">
        <f>LEFT(I372,9)</f>
        <v/>
      </c>
      <c r="R372">
        <f>TRIM(B372)</f>
        <v/>
      </c>
      <c r="S372">
        <f>COUNTIF($X$1:$X$9,R372) &gt; 0</f>
        <v/>
      </c>
      <c r="T372">
        <f>IF(AND(S372=FALSE,LEN(R372)&gt;2),4,IF(S372=TRUE,INDEX($Y$1:$Y$9,MATCH(R372,$X$1:$X$9,0)),""))</f>
        <v/>
      </c>
      <c r="U372">
        <f>IF(R372&lt;&gt;"",IF(Q377="",0,MATCH(TRUE,INDEX(Q377:$Q$1100="",0),0)-1),"")</f>
        <v/>
      </c>
      <c r="V372">
        <f>IF(AND(T372&lt;&gt;"",U372&lt;&gt;""),IF(U372-T372&lt;=0,"Falls Short",U372-T372),"")</f>
        <v/>
      </c>
      <c r="W372">
        <f>IF(AND(R372&lt;&gt;"",V372&lt;&gt;"Falls Short"),20*V372,"")</f>
        <v/>
      </c>
    </row>
    <row r="373">
      <c r="Q373">
        <f>LEFT(I373,9)</f>
        <v/>
      </c>
      <c r="R373">
        <f>TRIM(B373)</f>
        <v/>
      </c>
      <c r="S373">
        <f>COUNTIF($X$1:$X$9,R373) &gt; 0</f>
        <v/>
      </c>
      <c r="T373">
        <f>IF(AND(S373=FALSE,LEN(R373)&gt;2),4,IF(S373=TRUE,INDEX($Y$1:$Y$9,MATCH(R373,$X$1:$X$9,0)),""))</f>
        <v/>
      </c>
      <c r="U373">
        <f>IF(R373&lt;&gt;"",IF(Q378="",0,MATCH(TRUE,INDEX(Q378:$Q$1100="",0),0)-1),"")</f>
        <v/>
      </c>
      <c r="V373">
        <f>IF(AND(T373&lt;&gt;"",U373&lt;&gt;""),IF(U373-T373&lt;=0,"Falls Short",U373-T373),"")</f>
        <v/>
      </c>
      <c r="W373">
        <f>IF(AND(R373&lt;&gt;"",V373&lt;&gt;"Falls Short"),20*V373,"")</f>
        <v/>
      </c>
    </row>
    <row r="374">
      <c r="Q374">
        <f>LEFT(I374,9)</f>
        <v/>
      </c>
      <c r="R374">
        <f>TRIM(B374)</f>
        <v/>
      </c>
      <c r="S374">
        <f>COUNTIF($X$1:$X$9,R374) &gt; 0</f>
        <v/>
      </c>
      <c r="T374">
        <f>IF(AND(S374=FALSE,LEN(R374)&gt;2),4,IF(S374=TRUE,INDEX($Y$1:$Y$9,MATCH(R374,$X$1:$X$9,0)),""))</f>
        <v/>
      </c>
      <c r="U374">
        <f>IF(R374&lt;&gt;"",IF(Q379="",0,MATCH(TRUE,INDEX(Q379:$Q$1100="",0),0)-1),"")</f>
        <v/>
      </c>
      <c r="V374">
        <f>IF(AND(T374&lt;&gt;"",U374&lt;&gt;""),IF(U374-T374&lt;=0,"Falls Short",U374-T374),"")</f>
        <v/>
      </c>
      <c r="W374">
        <f>IF(AND(R374&lt;&gt;"",V374&lt;&gt;"Falls Short"),20*V374,"")</f>
        <v/>
      </c>
    </row>
    <row r="375">
      <c r="Q375">
        <f>LEFT(I375,9)</f>
        <v/>
      </c>
      <c r="R375">
        <f>TRIM(B375)</f>
        <v/>
      </c>
      <c r="S375">
        <f>COUNTIF($X$1:$X$9,R375) &gt; 0</f>
        <v/>
      </c>
      <c r="T375">
        <f>IF(AND(S375=FALSE,LEN(R375)&gt;2),4,IF(S375=TRUE,INDEX($Y$1:$Y$9,MATCH(R375,$X$1:$X$9,0)),""))</f>
        <v/>
      </c>
      <c r="U375">
        <f>IF(R375&lt;&gt;"",IF(Q380="",0,MATCH(TRUE,INDEX(Q380:$Q$1100="",0),0)-1),"")</f>
        <v/>
      </c>
      <c r="V375">
        <f>IF(AND(T375&lt;&gt;"",U375&lt;&gt;""),IF(U375-T375&lt;=0,"Falls Short",U375-T375),"")</f>
        <v/>
      </c>
      <c r="W375">
        <f>IF(AND(R375&lt;&gt;"",V375&lt;&gt;"Falls Short"),20*V375,"")</f>
        <v/>
      </c>
    </row>
    <row r="376">
      <c r="Q376">
        <f>LEFT(I376,9)</f>
        <v/>
      </c>
      <c r="R376">
        <f>TRIM(B376)</f>
        <v/>
      </c>
      <c r="S376">
        <f>COUNTIF($X$1:$X$9,R376) &gt; 0</f>
        <v/>
      </c>
      <c r="T376">
        <f>IF(AND(S376=FALSE,LEN(R376)&gt;2),4,IF(S376=TRUE,INDEX($Y$1:$Y$9,MATCH(R376,$X$1:$X$9,0)),""))</f>
        <v/>
      </c>
      <c r="U376">
        <f>IF(R376&lt;&gt;"",IF(Q381="",0,MATCH(TRUE,INDEX(Q381:$Q$1100="",0),0)-1),"")</f>
        <v/>
      </c>
      <c r="V376">
        <f>IF(AND(T376&lt;&gt;"",U376&lt;&gt;""),IF(U376-T376&lt;=0,"Falls Short",U376-T376),"")</f>
        <v/>
      </c>
      <c r="W376">
        <f>IF(AND(R376&lt;&gt;"",V376&lt;&gt;"Falls Short"),20*V376,"")</f>
        <v/>
      </c>
    </row>
    <row r="377">
      <c r="Q377">
        <f>LEFT(I377,9)</f>
        <v/>
      </c>
      <c r="R377">
        <f>TRIM(B377)</f>
        <v/>
      </c>
      <c r="S377">
        <f>COUNTIF($X$1:$X$9,R377) &gt; 0</f>
        <v/>
      </c>
      <c r="T377">
        <f>IF(AND(S377=FALSE,LEN(R377)&gt;2),4,IF(S377=TRUE,INDEX($Y$1:$Y$9,MATCH(R377,$X$1:$X$9,0)),""))</f>
        <v/>
      </c>
      <c r="U377">
        <f>IF(R377&lt;&gt;"",IF(Q382="",0,MATCH(TRUE,INDEX(Q382:$Q$1100="",0),0)-1),"")</f>
        <v/>
      </c>
      <c r="V377">
        <f>IF(AND(T377&lt;&gt;"",U377&lt;&gt;""),IF(U377-T377&lt;=0,"Falls Short",U377-T377),"")</f>
        <v/>
      </c>
      <c r="W377">
        <f>IF(AND(R377&lt;&gt;"",V377&lt;&gt;"Falls Short"),20*V377,"")</f>
        <v/>
      </c>
    </row>
    <row r="378">
      <c r="Q378">
        <f>LEFT(I378,9)</f>
        <v/>
      </c>
      <c r="R378">
        <f>TRIM(B378)</f>
        <v/>
      </c>
      <c r="S378">
        <f>COUNTIF($X$1:$X$9,R378) &gt; 0</f>
        <v/>
      </c>
      <c r="T378">
        <f>IF(AND(S378=FALSE,LEN(R378)&gt;2),4,IF(S378=TRUE,INDEX($Y$1:$Y$9,MATCH(R378,$X$1:$X$9,0)),""))</f>
        <v/>
      </c>
      <c r="U378">
        <f>IF(R378&lt;&gt;"",IF(Q383="",0,MATCH(TRUE,INDEX(Q383:$Q$1100="",0),0)-1),"")</f>
        <v/>
      </c>
      <c r="V378">
        <f>IF(AND(T378&lt;&gt;"",U378&lt;&gt;""),IF(U378-T378&lt;=0,"Falls Short",U378-T378),"")</f>
        <v/>
      </c>
      <c r="W378">
        <f>IF(AND(R378&lt;&gt;"",V378&lt;&gt;"Falls Short"),20*V378,"")</f>
        <v/>
      </c>
    </row>
    <row r="379">
      <c r="Q379">
        <f>LEFT(I379,9)</f>
        <v/>
      </c>
      <c r="R379">
        <f>TRIM(B379)</f>
        <v/>
      </c>
      <c r="S379">
        <f>COUNTIF($X$1:$X$9,R379) &gt; 0</f>
        <v/>
      </c>
      <c r="T379">
        <f>IF(AND(S379=FALSE,LEN(R379)&gt;2),4,IF(S379=TRUE,INDEX($Y$1:$Y$9,MATCH(R379,$X$1:$X$9,0)),""))</f>
        <v/>
      </c>
      <c r="U379">
        <f>IF(R379&lt;&gt;"",IF(Q384="",0,MATCH(TRUE,INDEX(Q384:$Q$1100="",0),0)-1),"")</f>
        <v/>
      </c>
      <c r="V379">
        <f>IF(AND(T379&lt;&gt;"",U379&lt;&gt;""),IF(U379-T379&lt;=0,"Falls Short",U379-T379),"")</f>
        <v/>
      </c>
      <c r="W379">
        <f>IF(AND(R379&lt;&gt;"",V379&lt;&gt;"Falls Short"),20*V379,"")</f>
        <v/>
      </c>
    </row>
    <row r="380">
      <c r="Q380">
        <f>LEFT(I380,9)</f>
        <v/>
      </c>
      <c r="R380">
        <f>TRIM(B380)</f>
        <v/>
      </c>
      <c r="S380">
        <f>COUNTIF($X$1:$X$9,R380) &gt; 0</f>
        <v/>
      </c>
      <c r="T380">
        <f>IF(AND(S380=FALSE,LEN(R380)&gt;2),4,IF(S380=TRUE,INDEX($Y$1:$Y$9,MATCH(R380,$X$1:$X$9,0)),""))</f>
        <v/>
      </c>
      <c r="U380">
        <f>IF(R380&lt;&gt;"",IF(Q385="",0,MATCH(TRUE,INDEX(Q385:$Q$1100="",0),0)-1),"")</f>
        <v/>
      </c>
      <c r="V380">
        <f>IF(AND(T380&lt;&gt;"",U380&lt;&gt;""),IF(U380-T380&lt;=0,"Falls Short",U380-T380),"")</f>
        <v/>
      </c>
      <c r="W380">
        <f>IF(AND(R380&lt;&gt;"",V380&lt;&gt;"Falls Short"),20*V380,"")</f>
        <v/>
      </c>
    </row>
    <row r="381">
      <c r="Q381">
        <f>LEFT(I381,9)</f>
        <v/>
      </c>
      <c r="R381">
        <f>TRIM(B381)</f>
        <v/>
      </c>
      <c r="S381">
        <f>COUNTIF($X$1:$X$9,R381) &gt; 0</f>
        <v/>
      </c>
      <c r="T381">
        <f>IF(AND(S381=FALSE,LEN(R381)&gt;2),4,IF(S381=TRUE,INDEX($Y$1:$Y$9,MATCH(R381,$X$1:$X$9,0)),""))</f>
        <v/>
      </c>
      <c r="U381">
        <f>IF(R381&lt;&gt;"",IF(Q386="",0,MATCH(TRUE,INDEX(Q386:$Q$1100="",0),0)-1),"")</f>
        <v/>
      </c>
      <c r="V381">
        <f>IF(AND(T381&lt;&gt;"",U381&lt;&gt;""),IF(U381-T381&lt;=0,"Falls Short",U381-T381),"")</f>
        <v/>
      </c>
      <c r="W381">
        <f>IF(AND(R381&lt;&gt;"",V381&lt;&gt;"Falls Short"),20*V381,"")</f>
        <v/>
      </c>
    </row>
    <row r="382">
      <c r="Q382">
        <f>LEFT(I382,9)</f>
        <v/>
      </c>
      <c r="R382">
        <f>TRIM(B382)</f>
        <v/>
      </c>
      <c r="S382">
        <f>COUNTIF($X$1:$X$9,R382) &gt; 0</f>
        <v/>
      </c>
      <c r="T382">
        <f>IF(AND(S382=FALSE,LEN(R382)&gt;2),4,IF(S382=TRUE,INDEX($Y$1:$Y$9,MATCH(R382,$X$1:$X$9,0)),""))</f>
        <v/>
      </c>
      <c r="U382">
        <f>IF(R382&lt;&gt;"",IF(Q387="",0,MATCH(TRUE,INDEX(Q387:$Q$1100="",0),0)-1),"")</f>
        <v/>
      </c>
      <c r="V382">
        <f>IF(AND(T382&lt;&gt;"",U382&lt;&gt;""),IF(U382-T382&lt;=0,"Falls Short",U382-T382),"")</f>
        <v/>
      </c>
      <c r="W382">
        <f>IF(AND(R382&lt;&gt;"",V382&lt;&gt;"Falls Short"),20*V382,"")</f>
        <v/>
      </c>
    </row>
    <row r="383">
      <c r="Q383">
        <f>LEFT(I383,9)</f>
        <v/>
      </c>
      <c r="R383">
        <f>TRIM(B383)</f>
        <v/>
      </c>
      <c r="S383">
        <f>COUNTIF($X$1:$X$9,R383) &gt; 0</f>
        <v/>
      </c>
      <c r="T383">
        <f>IF(AND(S383=FALSE,LEN(R383)&gt;2),4,IF(S383=TRUE,INDEX($Y$1:$Y$9,MATCH(R383,$X$1:$X$9,0)),""))</f>
        <v/>
      </c>
      <c r="U383">
        <f>IF(R383&lt;&gt;"",IF(Q388="",0,MATCH(TRUE,INDEX(Q388:$Q$1100="",0),0)-1),"")</f>
        <v/>
      </c>
      <c r="V383">
        <f>IF(AND(T383&lt;&gt;"",U383&lt;&gt;""),IF(U383-T383&lt;=0,"Falls Short",U383-T383),"")</f>
        <v/>
      </c>
      <c r="W383">
        <f>IF(AND(R383&lt;&gt;"",V383&lt;&gt;"Falls Short"),20*V383,"")</f>
        <v/>
      </c>
    </row>
    <row r="384">
      <c r="Q384">
        <f>LEFT(I384,9)</f>
        <v/>
      </c>
      <c r="R384">
        <f>TRIM(B384)</f>
        <v/>
      </c>
      <c r="S384">
        <f>COUNTIF($X$1:$X$9,R384) &gt; 0</f>
        <v/>
      </c>
      <c r="T384">
        <f>IF(AND(S384=FALSE,LEN(R384)&gt;2),4,IF(S384=TRUE,INDEX($Y$1:$Y$9,MATCH(R384,$X$1:$X$9,0)),""))</f>
        <v/>
      </c>
      <c r="U384">
        <f>IF(R384&lt;&gt;"",IF(Q389="",0,MATCH(TRUE,INDEX(Q389:$Q$1100="",0),0)-1),"")</f>
        <v/>
      </c>
      <c r="V384">
        <f>IF(AND(T384&lt;&gt;"",U384&lt;&gt;""),IF(U384-T384&lt;=0,"Falls Short",U384-T384),"")</f>
        <v/>
      </c>
      <c r="W384">
        <f>IF(AND(R384&lt;&gt;"",V384&lt;&gt;"Falls Short"),20*V384,"")</f>
        <v/>
      </c>
    </row>
    <row r="385">
      <c r="Q385">
        <f>LEFT(I385,9)</f>
        <v/>
      </c>
      <c r="R385">
        <f>TRIM(B385)</f>
        <v/>
      </c>
      <c r="S385">
        <f>COUNTIF($X$1:$X$9,R385) &gt; 0</f>
        <v/>
      </c>
      <c r="T385">
        <f>IF(AND(S385=FALSE,LEN(R385)&gt;2),4,IF(S385=TRUE,INDEX($Y$1:$Y$9,MATCH(R385,$X$1:$X$9,0)),""))</f>
        <v/>
      </c>
      <c r="U385">
        <f>IF(R385&lt;&gt;"",IF(Q390="",0,MATCH(TRUE,INDEX(Q390:$Q$1100="",0),0)-1),"")</f>
        <v/>
      </c>
      <c r="V385">
        <f>IF(AND(T385&lt;&gt;"",U385&lt;&gt;""),IF(U385-T385&lt;=0,"Falls Short",U385-T385),"")</f>
        <v/>
      </c>
      <c r="W385">
        <f>IF(AND(R385&lt;&gt;"",V385&lt;&gt;"Falls Short"),20*V385,"")</f>
        <v/>
      </c>
    </row>
    <row r="386">
      <c r="Q386">
        <f>LEFT(I386,9)</f>
        <v/>
      </c>
      <c r="R386">
        <f>TRIM(B386)</f>
        <v/>
      </c>
      <c r="S386">
        <f>COUNTIF($X$1:$X$9,R386) &gt; 0</f>
        <v/>
      </c>
      <c r="T386">
        <f>IF(AND(S386=FALSE,LEN(R386)&gt;2),4,IF(S386=TRUE,INDEX($Y$1:$Y$9,MATCH(R386,$X$1:$X$9,0)),""))</f>
        <v/>
      </c>
      <c r="U386">
        <f>IF(R386&lt;&gt;"",IF(Q391="",0,MATCH(TRUE,INDEX(Q391:$Q$1100="",0),0)-1),"")</f>
        <v/>
      </c>
      <c r="V386">
        <f>IF(AND(T386&lt;&gt;"",U386&lt;&gt;""),IF(U386-T386&lt;=0,"Falls Short",U386-T386),"")</f>
        <v/>
      </c>
      <c r="W386">
        <f>IF(AND(R386&lt;&gt;"",V386&lt;&gt;"Falls Short"),20*V386,"")</f>
        <v/>
      </c>
    </row>
    <row r="387">
      <c r="Q387">
        <f>LEFT(I387,9)</f>
        <v/>
      </c>
      <c r="R387">
        <f>TRIM(B387)</f>
        <v/>
      </c>
      <c r="S387">
        <f>COUNTIF($X$1:$X$9,R387) &gt; 0</f>
        <v/>
      </c>
      <c r="T387">
        <f>IF(AND(S387=FALSE,LEN(R387)&gt;2),4,IF(S387=TRUE,INDEX($Y$1:$Y$9,MATCH(R387,$X$1:$X$9,0)),""))</f>
        <v/>
      </c>
      <c r="U387">
        <f>IF(R387&lt;&gt;"",IF(Q392="",0,MATCH(TRUE,INDEX(Q392:$Q$1100="",0),0)-1),"")</f>
        <v/>
      </c>
      <c r="V387">
        <f>IF(AND(T387&lt;&gt;"",U387&lt;&gt;""),IF(U387-T387&lt;=0,"Falls Short",U387-T387),"")</f>
        <v/>
      </c>
      <c r="W387">
        <f>IF(AND(R387&lt;&gt;"",V387&lt;&gt;"Falls Short"),20*V387,"")</f>
        <v/>
      </c>
    </row>
    <row r="388">
      <c r="Q388">
        <f>LEFT(I388,9)</f>
        <v/>
      </c>
      <c r="R388">
        <f>TRIM(B388)</f>
        <v/>
      </c>
      <c r="S388">
        <f>COUNTIF($X$1:$X$9,R388) &gt; 0</f>
        <v/>
      </c>
      <c r="T388">
        <f>IF(AND(S388=FALSE,LEN(R388)&gt;2),4,IF(S388=TRUE,INDEX($Y$1:$Y$9,MATCH(R388,$X$1:$X$9,0)),""))</f>
        <v/>
      </c>
      <c r="U388">
        <f>IF(R388&lt;&gt;"",IF(Q393="",0,MATCH(TRUE,INDEX(Q393:$Q$1100="",0),0)-1),"")</f>
        <v/>
      </c>
      <c r="V388">
        <f>IF(AND(T388&lt;&gt;"",U388&lt;&gt;""),IF(U388-T388&lt;=0,"Falls Short",U388-T388),"")</f>
        <v/>
      </c>
      <c r="W388">
        <f>IF(AND(R388&lt;&gt;"",V388&lt;&gt;"Falls Short"),20*V388,"")</f>
        <v/>
      </c>
    </row>
    <row r="389">
      <c r="Q389">
        <f>LEFT(I389,9)</f>
        <v/>
      </c>
      <c r="R389">
        <f>TRIM(B389)</f>
        <v/>
      </c>
      <c r="S389">
        <f>COUNTIF($X$1:$X$9,R389) &gt; 0</f>
        <v/>
      </c>
      <c r="T389">
        <f>IF(AND(S389=FALSE,LEN(R389)&gt;2),4,IF(S389=TRUE,INDEX($Y$1:$Y$9,MATCH(R389,$X$1:$X$9,0)),""))</f>
        <v/>
      </c>
      <c r="U389">
        <f>IF(R389&lt;&gt;"",IF(Q394="",0,MATCH(TRUE,INDEX(Q394:$Q$1100="",0),0)-1),"")</f>
        <v/>
      </c>
      <c r="V389">
        <f>IF(AND(T389&lt;&gt;"",U389&lt;&gt;""),IF(U389-T389&lt;=0,"Falls Short",U389-T389),"")</f>
        <v/>
      </c>
      <c r="W389">
        <f>IF(AND(R389&lt;&gt;"",V389&lt;&gt;"Falls Short"),20*V389,"")</f>
        <v/>
      </c>
    </row>
    <row r="390">
      <c r="Q390">
        <f>LEFT(I390,9)</f>
        <v/>
      </c>
      <c r="R390">
        <f>TRIM(B390)</f>
        <v/>
      </c>
      <c r="S390">
        <f>COUNTIF($X$1:$X$9,R390) &gt; 0</f>
        <v/>
      </c>
      <c r="T390">
        <f>IF(AND(S390=FALSE,LEN(R390)&gt;2),4,IF(S390=TRUE,INDEX($Y$1:$Y$9,MATCH(R390,$X$1:$X$9,0)),""))</f>
        <v/>
      </c>
      <c r="U390">
        <f>IF(R390&lt;&gt;"",IF(Q395="",0,MATCH(TRUE,INDEX(Q395:$Q$1100="",0),0)-1),"")</f>
        <v/>
      </c>
      <c r="V390">
        <f>IF(AND(T390&lt;&gt;"",U390&lt;&gt;""),IF(U390-T390&lt;=0,"Falls Short",U390-T390),"")</f>
        <v/>
      </c>
      <c r="W390">
        <f>IF(AND(R390&lt;&gt;"",V390&lt;&gt;"Falls Short"),20*V390,"")</f>
        <v/>
      </c>
    </row>
    <row r="391">
      <c r="Q391">
        <f>LEFT(I391,9)</f>
        <v/>
      </c>
      <c r="R391">
        <f>TRIM(B391)</f>
        <v/>
      </c>
      <c r="S391">
        <f>COUNTIF($X$1:$X$9,R391) &gt; 0</f>
        <v/>
      </c>
      <c r="T391">
        <f>IF(AND(S391=FALSE,LEN(R391)&gt;2),4,IF(S391=TRUE,INDEX($Y$1:$Y$9,MATCH(R391,$X$1:$X$9,0)),""))</f>
        <v/>
      </c>
      <c r="U391">
        <f>IF(R391&lt;&gt;"",IF(Q396="",0,MATCH(TRUE,INDEX(Q396:$Q$1100="",0),0)-1),"")</f>
        <v/>
      </c>
      <c r="V391">
        <f>IF(AND(T391&lt;&gt;"",U391&lt;&gt;""),IF(U391-T391&lt;=0,"Falls Short",U391-T391),"")</f>
        <v/>
      </c>
      <c r="W391">
        <f>IF(AND(R391&lt;&gt;"",V391&lt;&gt;"Falls Short"),20*V391,"")</f>
        <v/>
      </c>
    </row>
    <row r="392">
      <c r="Q392">
        <f>LEFT(I392,9)</f>
        <v/>
      </c>
      <c r="R392">
        <f>TRIM(B392)</f>
        <v/>
      </c>
      <c r="S392">
        <f>COUNTIF($X$1:$X$9,R392) &gt; 0</f>
        <v/>
      </c>
      <c r="T392">
        <f>IF(AND(S392=FALSE,LEN(R392)&gt;2),4,IF(S392=TRUE,INDEX($Y$1:$Y$9,MATCH(R392,$X$1:$X$9,0)),""))</f>
        <v/>
      </c>
      <c r="U392">
        <f>IF(R392&lt;&gt;"",IF(Q397="",0,MATCH(TRUE,INDEX(Q397:$Q$1100="",0),0)-1),"")</f>
        <v/>
      </c>
      <c r="V392">
        <f>IF(AND(T392&lt;&gt;"",U392&lt;&gt;""),IF(U392-T392&lt;=0,"Falls Short",U392-T392),"")</f>
        <v/>
      </c>
      <c r="W392">
        <f>IF(AND(R392&lt;&gt;"",V392&lt;&gt;"Falls Short"),20*V392,"")</f>
        <v/>
      </c>
    </row>
    <row r="393">
      <c r="Q393">
        <f>LEFT(I393,9)</f>
        <v/>
      </c>
      <c r="R393">
        <f>TRIM(B393)</f>
        <v/>
      </c>
      <c r="S393">
        <f>COUNTIF($X$1:$X$9,R393) &gt; 0</f>
        <v/>
      </c>
      <c r="T393">
        <f>IF(AND(S393=FALSE,LEN(R393)&gt;2),4,IF(S393=TRUE,INDEX($Y$1:$Y$9,MATCH(R393,$X$1:$X$9,0)),""))</f>
        <v/>
      </c>
      <c r="U393">
        <f>IF(R393&lt;&gt;"",IF(Q398="",0,MATCH(TRUE,INDEX(Q398:$Q$1100="",0),0)-1),"")</f>
        <v/>
      </c>
      <c r="V393">
        <f>IF(AND(T393&lt;&gt;"",U393&lt;&gt;""),IF(U393-T393&lt;=0,"Falls Short",U393-T393),"")</f>
        <v/>
      </c>
      <c r="W393">
        <f>IF(AND(R393&lt;&gt;"",V393&lt;&gt;"Falls Short"),20*V393,"")</f>
        <v/>
      </c>
    </row>
    <row r="394">
      <c r="Q394">
        <f>LEFT(I394,9)</f>
        <v/>
      </c>
      <c r="R394">
        <f>TRIM(B394)</f>
        <v/>
      </c>
      <c r="S394">
        <f>COUNTIF($X$1:$X$9,R394) &gt; 0</f>
        <v/>
      </c>
      <c r="T394">
        <f>IF(AND(S394=FALSE,LEN(R394)&gt;2),4,IF(S394=TRUE,INDEX($Y$1:$Y$9,MATCH(R394,$X$1:$X$9,0)),""))</f>
        <v/>
      </c>
      <c r="U394">
        <f>IF(R394&lt;&gt;"",IF(Q399="",0,MATCH(TRUE,INDEX(Q399:$Q$1100="",0),0)-1),"")</f>
        <v/>
      </c>
      <c r="V394">
        <f>IF(AND(T394&lt;&gt;"",U394&lt;&gt;""),IF(U394-T394&lt;=0,"Falls Short",U394-T394),"")</f>
        <v/>
      </c>
      <c r="W394">
        <f>IF(AND(R394&lt;&gt;"",V394&lt;&gt;"Falls Short"),20*V394,"")</f>
        <v/>
      </c>
    </row>
    <row r="395">
      <c r="Q395">
        <f>LEFT(I395,9)</f>
        <v/>
      </c>
      <c r="R395">
        <f>TRIM(B395)</f>
        <v/>
      </c>
      <c r="S395">
        <f>COUNTIF($X$1:$X$9,R395) &gt; 0</f>
        <v/>
      </c>
      <c r="T395">
        <f>IF(AND(S395=FALSE,LEN(R395)&gt;2),4,IF(S395=TRUE,INDEX($Y$1:$Y$9,MATCH(R395,$X$1:$X$9,0)),""))</f>
        <v/>
      </c>
      <c r="U395">
        <f>IF(R395&lt;&gt;"",IF(Q400="",0,MATCH(TRUE,INDEX(Q400:$Q$1100="",0),0)-1),"")</f>
        <v/>
      </c>
      <c r="V395">
        <f>IF(AND(T395&lt;&gt;"",U395&lt;&gt;""),IF(U395-T395&lt;=0,"Falls Short",U395-T395),"")</f>
        <v/>
      </c>
      <c r="W395">
        <f>IF(AND(R395&lt;&gt;"",V395&lt;&gt;"Falls Short"),20*V395,"")</f>
        <v/>
      </c>
    </row>
    <row r="396">
      <c r="Q396">
        <f>LEFT(I396,9)</f>
        <v/>
      </c>
      <c r="R396">
        <f>TRIM(B396)</f>
        <v/>
      </c>
      <c r="S396">
        <f>COUNTIF($X$1:$X$9,R396) &gt; 0</f>
        <v/>
      </c>
      <c r="T396">
        <f>IF(AND(S396=FALSE,LEN(R396)&gt;2),4,IF(S396=TRUE,INDEX($Y$1:$Y$9,MATCH(R396,$X$1:$X$9,0)),""))</f>
        <v/>
      </c>
      <c r="U396">
        <f>IF(R396&lt;&gt;"",IF(Q401="",0,MATCH(TRUE,INDEX(Q401:$Q$1100="",0),0)-1),"")</f>
        <v/>
      </c>
      <c r="V396">
        <f>IF(AND(T396&lt;&gt;"",U396&lt;&gt;""),IF(U396-T396&lt;=0,"Falls Short",U396-T396),"")</f>
        <v/>
      </c>
      <c r="W396">
        <f>IF(AND(R396&lt;&gt;"",V396&lt;&gt;"Falls Short"),20*V396,"")</f>
        <v/>
      </c>
    </row>
    <row r="397">
      <c r="Q397">
        <f>LEFT(I397,9)</f>
        <v/>
      </c>
      <c r="R397">
        <f>TRIM(B397)</f>
        <v/>
      </c>
      <c r="S397">
        <f>COUNTIF($X$1:$X$9,R397) &gt; 0</f>
        <v/>
      </c>
      <c r="T397">
        <f>IF(AND(S397=FALSE,LEN(R397)&gt;2),4,IF(S397=TRUE,INDEX($Y$1:$Y$9,MATCH(R397,$X$1:$X$9,0)),""))</f>
        <v/>
      </c>
      <c r="U397">
        <f>IF(R397&lt;&gt;"",IF(Q402="",0,MATCH(TRUE,INDEX(Q402:$Q$1100="",0),0)-1),"")</f>
        <v/>
      </c>
      <c r="V397">
        <f>IF(AND(T397&lt;&gt;"",U397&lt;&gt;""),IF(U397-T397&lt;=0,"Falls Short",U397-T397),"")</f>
        <v/>
      </c>
      <c r="W397">
        <f>IF(AND(R397&lt;&gt;"",V397&lt;&gt;"Falls Short"),20*V397,"")</f>
        <v/>
      </c>
    </row>
    <row r="398">
      <c r="Q398">
        <f>LEFT(I398,9)</f>
        <v/>
      </c>
      <c r="R398">
        <f>TRIM(B398)</f>
        <v/>
      </c>
      <c r="S398">
        <f>COUNTIF($X$1:$X$9,R398) &gt; 0</f>
        <v/>
      </c>
      <c r="T398">
        <f>IF(AND(S398=FALSE,LEN(R398)&gt;2),4,IF(S398=TRUE,INDEX($Y$1:$Y$9,MATCH(R398,$X$1:$X$9,0)),""))</f>
        <v/>
      </c>
      <c r="U398">
        <f>IF(R398&lt;&gt;"",IF(Q403="",0,MATCH(TRUE,INDEX(Q403:$Q$1100="",0),0)-1),"")</f>
        <v/>
      </c>
      <c r="V398">
        <f>IF(AND(T398&lt;&gt;"",U398&lt;&gt;""),IF(U398-T398&lt;=0,"Falls Short",U398-T398),"")</f>
        <v/>
      </c>
      <c r="W398">
        <f>IF(AND(R398&lt;&gt;"",V398&lt;&gt;"Falls Short"),20*V398,"")</f>
        <v/>
      </c>
    </row>
    <row r="399">
      <c r="Q399">
        <f>LEFT(I399,9)</f>
        <v/>
      </c>
      <c r="R399">
        <f>TRIM(B399)</f>
        <v/>
      </c>
      <c r="S399">
        <f>COUNTIF($X$1:$X$9,R399) &gt; 0</f>
        <v/>
      </c>
      <c r="T399">
        <f>IF(AND(S399=FALSE,LEN(R399)&gt;2),4,IF(S399=TRUE,INDEX($Y$1:$Y$9,MATCH(R399,$X$1:$X$9,0)),""))</f>
        <v/>
      </c>
      <c r="U399">
        <f>IF(R399&lt;&gt;"",IF(Q404="",0,MATCH(TRUE,INDEX(Q404:$Q$1100="",0),0)-1),"")</f>
        <v/>
      </c>
      <c r="V399">
        <f>IF(AND(T399&lt;&gt;"",U399&lt;&gt;""),IF(U399-T399&lt;=0,"Falls Short",U399-T399),"")</f>
        <v/>
      </c>
      <c r="W399">
        <f>IF(AND(R399&lt;&gt;"",V399&lt;&gt;"Falls Short"),20*V399,"")</f>
        <v/>
      </c>
    </row>
    <row r="400">
      <c r="Q400">
        <f>LEFT(I400,9)</f>
        <v/>
      </c>
      <c r="R400">
        <f>TRIM(B400)</f>
        <v/>
      </c>
      <c r="S400">
        <f>COUNTIF($X$1:$X$9,R400) &gt; 0</f>
        <v/>
      </c>
      <c r="T400">
        <f>IF(AND(S400=FALSE,LEN(R400)&gt;2),4,IF(S400=TRUE,INDEX($Y$1:$Y$9,MATCH(R400,$X$1:$X$9,0)),""))</f>
        <v/>
      </c>
      <c r="U400">
        <f>IF(R400&lt;&gt;"",IF(Q405="",0,MATCH(TRUE,INDEX(Q405:$Q$1100="",0),0)-1),"")</f>
        <v/>
      </c>
      <c r="V400">
        <f>IF(AND(T400&lt;&gt;"",U400&lt;&gt;""),IF(U400-T400&lt;=0,"Falls Short",U400-T400),"")</f>
        <v/>
      </c>
      <c r="W400">
        <f>IF(AND(R400&lt;&gt;"",V400&lt;&gt;"Falls Short"),20*V400,"")</f>
        <v/>
      </c>
    </row>
    <row r="401">
      <c r="Q401">
        <f>LEFT(I401,9)</f>
        <v/>
      </c>
      <c r="R401">
        <f>TRIM(B401)</f>
        <v/>
      </c>
      <c r="S401">
        <f>COUNTIF($X$1:$X$9,R401) &gt; 0</f>
        <v/>
      </c>
      <c r="T401">
        <f>IF(AND(S401=FALSE,LEN(R401)&gt;2),4,IF(S401=TRUE,INDEX($Y$1:$Y$9,MATCH(R401,$X$1:$X$9,0)),""))</f>
        <v/>
      </c>
      <c r="U401">
        <f>IF(R401&lt;&gt;"",IF(Q406="",0,MATCH(TRUE,INDEX(Q406:$Q$1100="",0),0)-1),"")</f>
        <v/>
      </c>
      <c r="V401">
        <f>IF(AND(T401&lt;&gt;"",U401&lt;&gt;""),IF(U401-T401&lt;=0,"Falls Short",U401-T401),"")</f>
        <v/>
      </c>
      <c r="W401">
        <f>IF(AND(R401&lt;&gt;"",V401&lt;&gt;"Falls Short"),20*V401,"")</f>
        <v/>
      </c>
    </row>
    <row r="402">
      <c r="Q402">
        <f>LEFT(I402,9)</f>
        <v/>
      </c>
      <c r="R402">
        <f>TRIM(B402)</f>
        <v/>
      </c>
      <c r="S402">
        <f>COUNTIF($X$1:$X$9,R402) &gt; 0</f>
        <v/>
      </c>
      <c r="T402">
        <f>IF(AND(S402=FALSE,LEN(R402)&gt;2),4,IF(S402=TRUE,INDEX($Y$1:$Y$9,MATCH(R402,$X$1:$X$9,0)),""))</f>
        <v/>
      </c>
      <c r="U402">
        <f>IF(R402&lt;&gt;"",IF(Q407="",0,MATCH(TRUE,INDEX(Q407:$Q$1100="",0),0)-1),"")</f>
        <v/>
      </c>
      <c r="V402">
        <f>IF(AND(T402&lt;&gt;"",U402&lt;&gt;""),IF(U402-T402&lt;=0,"Falls Short",U402-T402),"")</f>
        <v/>
      </c>
      <c r="W402">
        <f>IF(AND(R402&lt;&gt;"",V402&lt;&gt;"Falls Short"),20*V402,"")</f>
        <v/>
      </c>
    </row>
    <row r="403">
      <c r="Q403">
        <f>LEFT(I403,9)</f>
        <v/>
      </c>
      <c r="R403">
        <f>TRIM(B403)</f>
        <v/>
      </c>
      <c r="S403">
        <f>COUNTIF($X$1:$X$9,R403) &gt; 0</f>
        <v/>
      </c>
      <c r="T403">
        <f>IF(AND(S403=FALSE,LEN(R403)&gt;2),4,IF(S403=TRUE,INDEX($Y$1:$Y$9,MATCH(R403,$X$1:$X$9,0)),""))</f>
        <v/>
      </c>
      <c r="U403">
        <f>IF(R403&lt;&gt;"",IF(Q408="",0,MATCH(TRUE,INDEX(Q408:$Q$1100="",0),0)-1),"")</f>
        <v/>
      </c>
      <c r="V403">
        <f>IF(AND(T403&lt;&gt;"",U403&lt;&gt;""),IF(U403-T403&lt;=0,"Falls Short",U403-T403),"")</f>
        <v/>
      </c>
      <c r="W403">
        <f>IF(AND(R403&lt;&gt;"",V403&lt;&gt;"Falls Short"),20*V403,"")</f>
        <v/>
      </c>
    </row>
    <row r="404">
      <c r="Q404">
        <f>LEFT(I404,9)</f>
        <v/>
      </c>
      <c r="R404">
        <f>TRIM(B404)</f>
        <v/>
      </c>
      <c r="S404">
        <f>COUNTIF($X$1:$X$9,R404) &gt; 0</f>
        <v/>
      </c>
      <c r="T404">
        <f>IF(AND(S404=FALSE,LEN(R404)&gt;2),4,IF(S404=TRUE,INDEX($Y$1:$Y$9,MATCH(R404,$X$1:$X$9,0)),""))</f>
        <v/>
      </c>
      <c r="U404">
        <f>IF(R404&lt;&gt;"",IF(Q409="",0,MATCH(TRUE,INDEX(Q409:$Q$1100="",0),0)-1),"")</f>
        <v/>
      </c>
      <c r="V404">
        <f>IF(AND(T404&lt;&gt;"",U404&lt;&gt;""),IF(U404-T404&lt;=0,"Falls Short",U404-T404),"")</f>
        <v/>
      </c>
      <c r="W404">
        <f>IF(AND(R404&lt;&gt;"",V404&lt;&gt;"Falls Short"),20*V404,"")</f>
        <v/>
      </c>
    </row>
    <row r="405">
      <c r="Q405">
        <f>LEFT(I405,9)</f>
        <v/>
      </c>
      <c r="R405">
        <f>TRIM(B405)</f>
        <v/>
      </c>
      <c r="S405">
        <f>COUNTIF($X$1:$X$9,R405) &gt; 0</f>
        <v/>
      </c>
      <c r="T405">
        <f>IF(AND(S405=FALSE,LEN(R405)&gt;2),4,IF(S405=TRUE,INDEX($Y$1:$Y$9,MATCH(R405,$X$1:$X$9,0)),""))</f>
        <v/>
      </c>
      <c r="U405">
        <f>IF(R405&lt;&gt;"",IF(Q410="",0,MATCH(TRUE,INDEX(Q410:$Q$1100="",0),0)-1),"")</f>
        <v/>
      </c>
      <c r="V405">
        <f>IF(AND(T405&lt;&gt;"",U405&lt;&gt;""),IF(U405-T405&lt;=0,"Falls Short",U405-T405),"")</f>
        <v/>
      </c>
      <c r="W405">
        <f>IF(AND(R405&lt;&gt;"",V405&lt;&gt;"Falls Short"),20*V405,"")</f>
        <v/>
      </c>
    </row>
    <row r="406">
      <c r="Q406">
        <f>LEFT(I406,9)</f>
        <v/>
      </c>
      <c r="R406">
        <f>TRIM(B406)</f>
        <v/>
      </c>
      <c r="S406">
        <f>COUNTIF($X$1:$X$9,R406) &gt; 0</f>
        <v/>
      </c>
      <c r="T406">
        <f>IF(AND(S406=FALSE,LEN(R406)&gt;2),4,IF(S406=TRUE,INDEX($Y$1:$Y$9,MATCH(R406,$X$1:$X$9,0)),""))</f>
        <v/>
      </c>
      <c r="U406">
        <f>IF(R406&lt;&gt;"",IF(Q411="",0,MATCH(TRUE,INDEX(Q411:$Q$1100="",0),0)-1),"")</f>
        <v/>
      </c>
      <c r="V406">
        <f>IF(AND(T406&lt;&gt;"",U406&lt;&gt;""),IF(U406-T406&lt;=0,"Falls Short",U406-T406),"")</f>
        <v/>
      </c>
      <c r="W406">
        <f>IF(AND(R406&lt;&gt;"",V406&lt;&gt;"Falls Short"),20*V406,"")</f>
        <v/>
      </c>
    </row>
    <row r="407">
      <c r="Q407">
        <f>LEFT(I407,9)</f>
        <v/>
      </c>
      <c r="R407">
        <f>TRIM(B407)</f>
        <v/>
      </c>
      <c r="S407">
        <f>COUNTIF($X$1:$X$9,R407) &gt; 0</f>
        <v/>
      </c>
      <c r="T407">
        <f>IF(AND(S407=FALSE,LEN(R407)&gt;2),4,IF(S407=TRUE,INDEX($Y$1:$Y$9,MATCH(R407,$X$1:$X$9,0)),""))</f>
        <v/>
      </c>
      <c r="U407">
        <f>IF(R407&lt;&gt;"",IF(Q412="",0,MATCH(TRUE,INDEX(Q412:$Q$1100="",0),0)-1),"")</f>
        <v/>
      </c>
      <c r="V407">
        <f>IF(AND(T407&lt;&gt;"",U407&lt;&gt;""),IF(U407-T407&lt;=0,"Falls Short",U407-T407),"")</f>
        <v/>
      </c>
      <c r="W407">
        <f>IF(AND(R407&lt;&gt;"",V407&lt;&gt;"Falls Short"),20*V407,"")</f>
        <v/>
      </c>
    </row>
    <row r="408">
      <c r="Q408">
        <f>LEFT(I408,9)</f>
        <v/>
      </c>
      <c r="R408">
        <f>TRIM(B408)</f>
        <v/>
      </c>
      <c r="S408">
        <f>COUNTIF($X$1:$X$9,R408) &gt; 0</f>
        <v/>
      </c>
      <c r="T408">
        <f>IF(AND(S408=FALSE,LEN(R408)&gt;2),4,IF(S408=TRUE,INDEX($Y$1:$Y$9,MATCH(R408,$X$1:$X$9,0)),""))</f>
        <v/>
      </c>
      <c r="U408">
        <f>IF(R408&lt;&gt;"",IF(Q413="",0,MATCH(TRUE,INDEX(Q413:$Q$1100="",0),0)-1),"")</f>
        <v/>
      </c>
      <c r="V408">
        <f>IF(AND(T408&lt;&gt;"",U408&lt;&gt;""),IF(U408-T408&lt;=0,"Falls Short",U408-T408),"")</f>
        <v/>
      </c>
      <c r="W408">
        <f>IF(AND(R408&lt;&gt;"",V408&lt;&gt;"Falls Short"),20*V408,"")</f>
        <v/>
      </c>
    </row>
    <row r="409">
      <c r="Q409">
        <f>LEFT(I409,9)</f>
        <v/>
      </c>
      <c r="R409">
        <f>TRIM(B409)</f>
        <v/>
      </c>
      <c r="S409">
        <f>COUNTIF($X$1:$X$9,R409) &gt; 0</f>
        <v/>
      </c>
      <c r="T409">
        <f>IF(AND(S409=FALSE,LEN(R409)&gt;2),4,IF(S409=TRUE,INDEX($Y$1:$Y$9,MATCH(R409,$X$1:$X$9,0)),""))</f>
        <v/>
      </c>
      <c r="U409">
        <f>IF(R409&lt;&gt;"",IF(Q414="",0,MATCH(TRUE,INDEX(Q414:$Q$1100="",0),0)-1),"")</f>
        <v/>
      </c>
      <c r="V409">
        <f>IF(AND(T409&lt;&gt;"",U409&lt;&gt;""),IF(U409-T409&lt;=0,"Falls Short",U409-T409),"")</f>
        <v/>
      </c>
      <c r="W409">
        <f>IF(AND(R409&lt;&gt;"",V409&lt;&gt;"Falls Short"),20*V409,"")</f>
        <v/>
      </c>
    </row>
    <row r="410">
      <c r="Q410">
        <f>LEFT(I410,9)</f>
        <v/>
      </c>
      <c r="R410">
        <f>TRIM(B410)</f>
        <v/>
      </c>
      <c r="S410">
        <f>COUNTIF($X$1:$X$9,R410) &gt; 0</f>
        <v/>
      </c>
      <c r="T410">
        <f>IF(AND(S410=FALSE,LEN(R410)&gt;2),4,IF(S410=TRUE,INDEX($Y$1:$Y$9,MATCH(R410,$X$1:$X$9,0)),""))</f>
        <v/>
      </c>
      <c r="U410">
        <f>IF(R410&lt;&gt;"",IF(Q415="",0,MATCH(TRUE,INDEX(Q415:$Q$1100="",0),0)-1),"")</f>
        <v/>
      </c>
      <c r="V410">
        <f>IF(AND(T410&lt;&gt;"",U410&lt;&gt;""),IF(U410-T410&lt;=0,"Falls Short",U410-T410),"")</f>
        <v/>
      </c>
      <c r="W410">
        <f>IF(AND(R410&lt;&gt;"",V410&lt;&gt;"Falls Short"),20*V410,"")</f>
        <v/>
      </c>
    </row>
    <row r="411">
      <c r="Q411">
        <f>LEFT(I411,9)</f>
        <v/>
      </c>
      <c r="R411">
        <f>TRIM(B411)</f>
        <v/>
      </c>
      <c r="S411">
        <f>COUNTIF($X$1:$X$9,R411) &gt; 0</f>
        <v/>
      </c>
      <c r="T411">
        <f>IF(AND(S411=FALSE,LEN(R411)&gt;2),4,IF(S411=TRUE,INDEX($Y$1:$Y$9,MATCH(R411,$X$1:$X$9,0)),""))</f>
        <v/>
      </c>
      <c r="U411">
        <f>IF(R411&lt;&gt;"",IF(Q416="",0,MATCH(TRUE,INDEX(Q416:$Q$1100="",0),0)-1),"")</f>
        <v/>
      </c>
      <c r="V411">
        <f>IF(AND(T411&lt;&gt;"",U411&lt;&gt;""),IF(U411-T411&lt;=0,"Falls Short",U411-T411),"")</f>
        <v/>
      </c>
      <c r="W411">
        <f>IF(AND(R411&lt;&gt;"",V411&lt;&gt;"Falls Short"),20*V411,"")</f>
        <v/>
      </c>
    </row>
    <row r="412">
      <c r="Q412">
        <f>LEFT(I412,9)</f>
        <v/>
      </c>
      <c r="R412">
        <f>TRIM(B412)</f>
        <v/>
      </c>
      <c r="S412">
        <f>COUNTIF($X$1:$X$9,R412) &gt; 0</f>
        <v/>
      </c>
      <c r="T412">
        <f>IF(AND(S412=FALSE,LEN(R412)&gt;2),4,IF(S412=TRUE,INDEX($Y$1:$Y$9,MATCH(R412,$X$1:$X$9,0)),""))</f>
        <v/>
      </c>
      <c r="U412">
        <f>IF(R412&lt;&gt;"",IF(Q417="",0,MATCH(TRUE,INDEX(Q417:$Q$1100="",0),0)-1),"")</f>
        <v/>
      </c>
      <c r="V412">
        <f>IF(AND(T412&lt;&gt;"",U412&lt;&gt;""),IF(U412-T412&lt;=0,"Falls Short",U412-T412),"")</f>
        <v/>
      </c>
      <c r="W412">
        <f>IF(AND(R412&lt;&gt;"",V412&lt;&gt;"Falls Short"),20*V412,"")</f>
        <v/>
      </c>
    </row>
    <row r="413">
      <c r="Q413">
        <f>LEFT(I413,9)</f>
        <v/>
      </c>
      <c r="R413">
        <f>TRIM(B413)</f>
        <v/>
      </c>
      <c r="S413">
        <f>COUNTIF($X$1:$X$9,R413) &gt; 0</f>
        <v/>
      </c>
      <c r="T413">
        <f>IF(AND(S413=FALSE,LEN(R413)&gt;2),4,IF(S413=TRUE,INDEX($Y$1:$Y$9,MATCH(R413,$X$1:$X$9,0)),""))</f>
        <v/>
      </c>
      <c r="U413">
        <f>IF(R413&lt;&gt;"",IF(Q418="",0,MATCH(TRUE,INDEX(Q418:$Q$1100="",0),0)-1),"")</f>
        <v/>
      </c>
      <c r="V413">
        <f>IF(AND(T413&lt;&gt;"",U413&lt;&gt;""),IF(U413-T413&lt;=0,"Falls Short",U413-T413),"")</f>
        <v/>
      </c>
      <c r="W413">
        <f>IF(AND(R413&lt;&gt;"",V413&lt;&gt;"Falls Short"),20*V413,"")</f>
        <v/>
      </c>
    </row>
    <row r="414">
      <c r="Q414">
        <f>LEFT(I414,9)</f>
        <v/>
      </c>
      <c r="R414">
        <f>TRIM(B414)</f>
        <v/>
      </c>
      <c r="S414">
        <f>COUNTIF($X$1:$X$9,R414) &gt; 0</f>
        <v/>
      </c>
      <c r="T414">
        <f>IF(AND(S414=FALSE,LEN(R414)&gt;2),4,IF(S414=TRUE,INDEX($Y$1:$Y$9,MATCH(R414,$X$1:$X$9,0)),""))</f>
        <v/>
      </c>
      <c r="U414">
        <f>IF(R414&lt;&gt;"",IF(Q419="",0,MATCH(TRUE,INDEX(Q419:$Q$1100="",0),0)-1),"")</f>
        <v/>
      </c>
      <c r="V414">
        <f>IF(AND(T414&lt;&gt;"",U414&lt;&gt;""),IF(U414-T414&lt;=0,"Falls Short",U414-T414),"")</f>
        <v/>
      </c>
      <c r="W414">
        <f>IF(AND(R414&lt;&gt;"",V414&lt;&gt;"Falls Short"),20*V414,"")</f>
        <v/>
      </c>
    </row>
    <row r="415">
      <c r="Q415">
        <f>LEFT(I415,9)</f>
        <v/>
      </c>
      <c r="R415">
        <f>TRIM(B415)</f>
        <v/>
      </c>
      <c r="S415">
        <f>COUNTIF($X$1:$X$9,R415) &gt; 0</f>
        <v/>
      </c>
      <c r="T415">
        <f>IF(AND(S415=FALSE,LEN(R415)&gt;2),4,IF(S415=TRUE,INDEX($Y$1:$Y$9,MATCH(R415,$X$1:$X$9,0)),""))</f>
        <v/>
      </c>
      <c r="U415">
        <f>IF(R415&lt;&gt;"",IF(Q420="",0,MATCH(TRUE,INDEX(Q420:$Q$1100="",0),0)-1),"")</f>
        <v/>
      </c>
      <c r="V415">
        <f>IF(AND(T415&lt;&gt;"",U415&lt;&gt;""),IF(U415-T415&lt;=0,"Falls Short",U415-T415),"")</f>
        <v/>
      </c>
      <c r="W415">
        <f>IF(AND(R415&lt;&gt;"",V415&lt;&gt;"Falls Short"),20*V415,"")</f>
        <v/>
      </c>
    </row>
    <row r="416">
      <c r="Q416">
        <f>LEFT(I416,9)</f>
        <v/>
      </c>
      <c r="R416">
        <f>TRIM(B416)</f>
        <v/>
      </c>
      <c r="S416">
        <f>COUNTIF($X$1:$X$9,R416) &gt; 0</f>
        <v/>
      </c>
      <c r="T416">
        <f>IF(AND(S416=FALSE,LEN(R416)&gt;2),4,IF(S416=TRUE,INDEX($Y$1:$Y$9,MATCH(R416,$X$1:$X$9,0)),""))</f>
        <v/>
      </c>
      <c r="U416">
        <f>IF(R416&lt;&gt;"",IF(Q421="",0,MATCH(TRUE,INDEX(Q421:$Q$1100="",0),0)-1),"")</f>
        <v/>
      </c>
      <c r="V416">
        <f>IF(AND(T416&lt;&gt;"",U416&lt;&gt;""),IF(U416-T416&lt;=0,"Falls Short",U416-T416),"")</f>
        <v/>
      </c>
      <c r="W416">
        <f>IF(AND(R416&lt;&gt;"",V416&lt;&gt;"Falls Short"),20*V416,"")</f>
        <v/>
      </c>
    </row>
    <row r="417">
      <c r="Q417">
        <f>LEFT(I417,9)</f>
        <v/>
      </c>
      <c r="R417">
        <f>TRIM(B417)</f>
        <v/>
      </c>
      <c r="S417">
        <f>COUNTIF($X$1:$X$9,R417) &gt; 0</f>
        <v/>
      </c>
      <c r="T417">
        <f>IF(AND(S417=FALSE,LEN(R417)&gt;2),4,IF(S417=TRUE,INDEX($Y$1:$Y$9,MATCH(R417,$X$1:$X$9,0)),""))</f>
        <v/>
      </c>
      <c r="U417">
        <f>IF(R417&lt;&gt;"",IF(Q422="",0,MATCH(TRUE,INDEX(Q422:$Q$1100="",0),0)-1),"")</f>
        <v/>
      </c>
      <c r="V417">
        <f>IF(AND(T417&lt;&gt;"",U417&lt;&gt;""),IF(U417-T417&lt;=0,"Falls Short",U417-T417),"")</f>
        <v/>
      </c>
      <c r="W417">
        <f>IF(AND(R417&lt;&gt;"",V417&lt;&gt;"Falls Short"),20*V417,"")</f>
        <v/>
      </c>
    </row>
    <row r="418">
      <c r="Q418">
        <f>LEFT(I418,9)</f>
        <v/>
      </c>
      <c r="R418">
        <f>TRIM(B418)</f>
        <v/>
      </c>
      <c r="S418">
        <f>COUNTIF($X$1:$X$9,R418) &gt; 0</f>
        <v/>
      </c>
      <c r="T418">
        <f>IF(AND(S418=FALSE,LEN(R418)&gt;2),4,IF(S418=TRUE,INDEX($Y$1:$Y$9,MATCH(R418,$X$1:$X$9,0)),""))</f>
        <v/>
      </c>
      <c r="U418">
        <f>IF(R418&lt;&gt;"",IF(Q423="",0,MATCH(TRUE,INDEX(Q423:$Q$1100="",0),0)-1),"")</f>
        <v/>
      </c>
      <c r="V418">
        <f>IF(AND(T418&lt;&gt;"",U418&lt;&gt;""),IF(U418-T418&lt;=0,"Falls Short",U418-T418),"")</f>
        <v/>
      </c>
      <c r="W418">
        <f>IF(AND(R418&lt;&gt;"",V418&lt;&gt;"Falls Short"),20*V418,"")</f>
        <v/>
      </c>
    </row>
    <row r="419">
      <c r="Q419">
        <f>LEFT(I419,9)</f>
        <v/>
      </c>
      <c r="R419">
        <f>TRIM(B419)</f>
        <v/>
      </c>
      <c r="S419">
        <f>COUNTIF($X$1:$X$9,R419) &gt; 0</f>
        <v/>
      </c>
      <c r="T419">
        <f>IF(AND(S419=FALSE,LEN(R419)&gt;2),4,IF(S419=TRUE,INDEX($Y$1:$Y$9,MATCH(R419,$X$1:$X$9,0)),""))</f>
        <v/>
      </c>
      <c r="U419">
        <f>IF(R419&lt;&gt;"",IF(Q424="",0,MATCH(TRUE,INDEX(Q424:$Q$1100="",0),0)-1),"")</f>
        <v/>
      </c>
      <c r="V419">
        <f>IF(AND(T419&lt;&gt;"",U419&lt;&gt;""),IF(U419-T419&lt;=0,"Falls Short",U419-T419),"")</f>
        <v/>
      </c>
      <c r="W419">
        <f>IF(AND(R419&lt;&gt;"",V419&lt;&gt;"Falls Short"),20*V419,"")</f>
        <v/>
      </c>
    </row>
    <row r="420">
      <c r="Q420">
        <f>LEFT(I420,9)</f>
        <v/>
      </c>
      <c r="R420">
        <f>TRIM(B420)</f>
        <v/>
      </c>
      <c r="S420">
        <f>COUNTIF($X$1:$X$9,R420) &gt; 0</f>
        <v/>
      </c>
      <c r="T420">
        <f>IF(AND(S420=FALSE,LEN(R420)&gt;2),4,IF(S420=TRUE,INDEX($Y$1:$Y$9,MATCH(R420,$X$1:$X$9,0)),""))</f>
        <v/>
      </c>
      <c r="U420">
        <f>IF(R420&lt;&gt;"",IF(Q425="",0,MATCH(TRUE,INDEX(Q425:$Q$1100="",0),0)-1),"")</f>
        <v/>
      </c>
      <c r="V420">
        <f>IF(AND(T420&lt;&gt;"",U420&lt;&gt;""),IF(U420-T420&lt;=0,"Falls Short",U420-T420),"")</f>
        <v/>
      </c>
      <c r="W420">
        <f>IF(AND(R420&lt;&gt;"",V420&lt;&gt;"Falls Short"),20*V420,"")</f>
        <v/>
      </c>
    </row>
    <row r="421">
      <c r="Q421">
        <f>LEFT(I421,9)</f>
        <v/>
      </c>
      <c r="R421">
        <f>TRIM(B421)</f>
        <v/>
      </c>
      <c r="S421">
        <f>COUNTIF($X$1:$X$9,R421) &gt; 0</f>
        <v/>
      </c>
      <c r="T421">
        <f>IF(AND(S421=FALSE,LEN(R421)&gt;2),4,IF(S421=TRUE,INDEX($Y$1:$Y$9,MATCH(R421,$X$1:$X$9,0)),""))</f>
        <v/>
      </c>
      <c r="U421">
        <f>IF(R421&lt;&gt;"",IF(Q426="",0,MATCH(TRUE,INDEX(Q426:$Q$1100="",0),0)-1),"")</f>
        <v/>
      </c>
      <c r="V421">
        <f>IF(AND(T421&lt;&gt;"",U421&lt;&gt;""),IF(U421-T421&lt;=0,"Falls Short",U421-T421),"")</f>
        <v/>
      </c>
      <c r="W421">
        <f>IF(AND(R421&lt;&gt;"",V421&lt;&gt;"Falls Short"),20*V421,"")</f>
        <v/>
      </c>
    </row>
    <row r="422">
      <c r="Q422">
        <f>LEFT(I422,9)</f>
        <v/>
      </c>
      <c r="R422">
        <f>TRIM(B422)</f>
        <v/>
      </c>
      <c r="S422">
        <f>COUNTIF($X$1:$X$9,R422) &gt; 0</f>
        <v/>
      </c>
      <c r="T422">
        <f>IF(AND(S422=FALSE,LEN(R422)&gt;2),4,IF(S422=TRUE,INDEX($Y$1:$Y$9,MATCH(R422,$X$1:$X$9,0)),""))</f>
        <v/>
      </c>
      <c r="U422">
        <f>IF(R422&lt;&gt;"",IF(Q427="",0,MATCH(TRUE,INDEX(Q427:$Q$1100="",0),0)-1),"")</f>
        <v/>
      </c>
      <c r="V422">
        <f>IF(AND(T422&lt;&gt;"",U422&lt;&gt;""),IF(U422-T422&lt;=0,"Falls Short",U422-T422),"")</f>
        <v/>
      </c>
      <c r="W422">
        <f>IF(AND(R422&lt;&gt;"",V422&lt;&gt;"Falls Short"),20*V422,"")</f>
        <v/>
      </c>
    </row>
    <row r="423">
      <c r="Q423">
        <f>LEFT(I423,9)</f>
        <v/>
      </c>
      <c r="R423">
        <f>TRIM(B423)</f>
        <v/>
      </c>
      <c r="S423">
        <f>COUNTIF($X$1:$X$9,R423) &gt; 0</f>
        <v/>
      </c>
      <c r="T423">
        <f>IF(AND(S423=FALSE,LEN(R423)&gt;2),4,IF(S423=TRUE,INDEX($Y$1:$Y$9,MATCH(R423,$X$1:$X$9,0)),""))</f>
        <v/>
      </c>
      <c r="U423">
        <f>IF(R423&lt;&gt;"",IF(Q428="",0,MATCH(TRUE,INDEX(Q428:$Q$1100="",0),0)-1),"")</f>
        <v/>
      </c>
      <c r="V423">
        <f>IF(AND(T423&lt;&gt;"",U423&lt;&gt;""),IF(U423-T423&lt;=0,"Falls Short",U423-T423),"")</f>
        <v/>
      </c>
      <c r="W423">
        <f>IF(AND(R423&lt;&gt;"",V423&lt;&gt;"Falls Short"),20*V423,"")</f>
        <v/>
      </c>
    </row>
    <row r="424">
      <c r="Q424">
        <f>LEFT(I424,9)</f>
        <v/>
      </c>
      <c r="R424">
        <f>TRIM(B424)</f>
        <v/>
      </c>
      <c r="S424">
        <f>COUNTIF($X$1:$X$9,R424) &gt; 0</f>
        <v/>
      </c>
      <c r="T424">
        <f>IF(AND(S424=FALSE,LEN(R424)&gt;2),4,IF(S424=TRUE,INDEX($Y$1:$Y$9,MATCH(R424,$X$1:$X$9,0)),""))</f>
        <v/>
      </c>
      <c r="U424">
        <f>IF(R424&lt;&gt;"",IF(Q429="",0,MATCH(TRUE,INDEX(Q429:$Q$1100="",0),0)-1),"")</f>
        <v/>
      </c>
      <c r="V424">
        <f>IF(AND(T424&lt;&gt;"",U424&lt;&gt;""),IF(U424-T424&lt;=0,"Falls Short",U424-T424),"")</f>
        <v/>
      </c>
      <c r="W424">
        <f>IF(AND(R424&lt;&gt;"",V424&lt;&gt;"Falls Short"),20*V424,"")</f>
        <v/>
      </c>
    </row>
    <row r="425">
      <c r="Q425">
        <f>LEFT(I425,9)</f>
        <v/>
      </c>
      <c r="R425">
        <f>TRIM(B425)</f>
        <v/>
      </c>
      <c r="S425">
        <f>COUNTIF($X$1:$X$9,R425) &gt; 0</f>
        <v/>
      </c>
      <c r="T425">
        <f>IF(AND(S425=FALSE,LEN(R425)&gt;2),4,IF(S425=TRUE,INDEX($Y$1:$Y$9,MATCH(R425,$X$1:$X$9,0)),""))</f>
        <v/>
      </c>
      <c r="U425">
        <f>IF(R425&lt;&gt;"",IF(Q430="",0,MATCH(TRUE,INDEX(Q430:$Q$1100="",0),0)-1),"")</f>
        <v/>
      </c>
      <c r="V425">
        <f>IF(AND(T425&lt;&gt;"",U425&lt;&gt;""),IF(U425-T425&lt;=0,"Falls Short",U425-T425),"")</f>
        <v/>
      </c>
      <c r="W425">
        <f>IF(AND(R425&lt;&gt;"",V425&lt;&gt;"Falls Short"),20*V425,"")</f>
        <v/>
      </c>
    </row>
    <row r="426">
      <c r="Q426">
        <f>LEFT(I426,9)</f>
        <v/>
      </c>
      <c r="R426">
        <f>TRIM(B426)</f>
        <v/>
      </c>
      <c r="S426">
        <f>COUNTIF($X$1:$X$9,R426) &gt; 0</f>
        <v/>
      </c>
      <c r="T426">
        <f>IF(AND(S426=FALSE,LEN(R426)&gt;2),4,IF(S426=TRUE,INDEX($Y$1:$Y$9,MATCH(R426,$X$1:$X$9,0)),""))</f>
        <v/>
      </c>
      <c r="U426">
        <f>IF(R426&lt;&gt;"",IF(Q431="",0,MATCH(TRUE,INDEX(Q431:$Q$1100="",0),0)-1),"")</f>
        <v/>
      </c>
      <c r="V426">
        <f>IF(AND(T426&lt;&gt;"",U426&lt;&gt;""),IF(U426-T426&lt;=0,"Falls Short",U426-T426),"")</f>
        <v/>
      </c>
      <c r="W426">
        <f>IF(AND(R426&lt;&gt;"",V426&lt;&gt;"Falls Short"),20*V426,"")</f>
        <v/>
      </c>
    </row>
    <row r="427">
      <c r="Q427">
        <f>LEFT(I427,9)</f>
        <v/>
      </c>
      <c r="R427">
        <f>TRIM(B427)</f>
        <v/>
      </c>
      <c r="S427">
        <f>COUNTIF($X$1:$X$9,R427) &gt; 0</f>
        <v/>
      </c>
      <c r="T427">
        <f>IF(AND(S427=FALSE,LEN(R427)&gt;2),4,IF(S427=TRUE,INDEX($Y$1:$Y$9,MATCH(R427,$X$1:$X$9,0)),""))</f>
        <v/>
      </c>
      <c r="U427">
        <f>IF(R427&lt;&gt;"",IF(Q432="",0,MATCH(TRUE,INDEX(Q432:$Q$1100="",0),0)-1),"")</f>
        <v/>
      </c>
      <c r="V427">
        <f>IF(AND(T427&lt;&gt;"",U427&lt;&gt;""),IF(U427-T427&lt;=0,"Falls Short",U427-T427),"")</f>
        <v/>
      </c>
      <c r="W427">
        <f>IF(AND(R427&lt;&gt;"",V427&lt;&gt;"Falls Short"),20*V427,"")</f>
        <v/>
      </c>
    </row>
    <row r="428">
      <c r="Q428">
        <f>LEFT(I428,9)</f>
        <v/>
      </c>
      <c r="R428">
        <f>TRIM(B428)</f>
        <v/>
      </c>
      <c r="S428">
        <f>COUNTIF($X$1:$X$9,R428) &gt; 0</f>
        <v/>
      </c>
      <c r="T428">
        <f>IF(AND(S428=FALSE,LEN(R428)&gt;2),4,IF(S428=TRUE,INDEX($Y$1:$Y$9,MATCH(R428,$X$1:$X$9,0)),""))</f>
        <v/>
      </c>
      <c r="U428">
        <f>IF(R428&lt;&gt;"",IF(Q433="",0,MATCH(TRUE,INDEX(Q433:$Q$1100="",0),0)-1),"")</f>
        <v/>
      </c>
      <c r="V428">
        <f>IF(AND(T428&lt;&gt;"",U428&lt;&gt;""),IF(U428-T428&lt;=0,"Falls Short",U428-T428),"")</f>
        <v/>
      </c>
      <c r="W428">
        <f>IF(AND(R428&lt;&gt;"",V428&lt;&gt;"Falls Short"),20*V428,"")</f>
        <v/>
      </c>
    </row>
    <row r="429">
      <c r="Q429">
        <f>LEFT(I429,9)</f>
        <v/>
      </c>
      <c r="R429">
        <f>TRIM(B429)</f>
        <v/>
      </c>
      <c r="S429">
        <f>COUNTIF($X$1:$X$9,R429) &gt; 0</f>
        <v/>
      </c>
      <c r="T429">
        <f>IF(AND(S429=FALSE,LEN(R429)&gt;2),4,IF(S429=TRUE,INDEX($Y$1:$Y$9,MATCH(R429,$X$1:$X$9,0)),""))</f>
        <v/>
      </c>
      <c r="U429">
        <f>IF(R429&lt;&gt;"",IF(Q434="",0,MATCH(TRUE,INDEX(Q434:$Q$1100="",0),0)-1),"")</f>
        <v/>
      </c>
      <c r="V429">
        <f>IF(AND(T429&lt;&gt;"",U429&lt;&gt;""),IF(U429-T429&lt;=0,"Falls Short",U429-T429),"")</f>
        <v/>
      </c>
      <c r="W429">
        <f>IF(AND(R429&lt;&gt;"",V429&lt;&gt;"Falls Short"),20*V429,"")</f>
        <v/>
      </c>
    </row>
    <row r="430">
      <c r="Q430">
        <f>LEFT(I430,9)</f>
        <v/>
      </c>
      <c r="R430">
        <f>TRIM(B430)</f>
        <v/>
      </c>
      <c r="S430">
        <f>COUNTIF($X$1:$X$9,R430) &gt; 0</f>
        <v/>
      </c>
      <c r="T430">
        <f>IF(AND(S430=FALSE,LEN(R430)&gt;2),4,IF(S430=TRUE,INDEX($Y$1:$Y$9,MATCH(R430,$X$1:$X$9,0)),""))</f>
        <v/>
      </c>
      <c r="U430">
        <f>IF(R430&lt;&gt;"",IF(Q435="",0,MATCH(TRUE,INDEX(Q435:$Q$1100="",0),0)-1),"")</f>
        <v/>
      </c>
      <c r="V430">
        <f>IF(AND(T430&lt;&gt;"",U430&lt;&gt;""),IF(U430-T430&lt;=0,"Falls Short",U430-T430),"")</f>
        <v/>
      </c>
      <c r="W430">
        <f>IF(AND(R430&lt;&gt;"",V430&lt;&gt;"Falls Short"),20*V430,"")</f>
        <v/>
      </c>
    </row>
    <row r="431">
      <c r="Q431">
        <f>LEFT(I431,9)</f>
        <v/>
      </c>
      <c r="R431">
        <f>TRIM(B431)</f>
        <v/>
      </c>
      <c r="S431">
        <f>COUNTIF($X$1:$X$9,R431) &gt; 0</f>
        <v/>
      </c>
      <c r="T431">
        <f>IF(AND(S431=FALSE,LEN(R431)&gt;2),4,IF(S431=TRUE,INDEX($Y$1:$Y$9,MATCH(R431,$X$1:$X$9,0)),""))</f>
        <v/>
      </c>
      <c r="U431">
        <f>IF(R431&lt;&gt;"",IF(Q436="",0,MATCH(TRUE,INDEX(Q436:$Q$1100="",0),0)-1),"")</f>
        <v/>
      </c>
      <c r="V431">
        <f>IF(AND(T431&lt;&gt;"",U431&lt;&gt;""),IF(U431-T431&lt;=0,"Falls Short",U431-T431),"")</f>
        <v/>
      </c>
      <c r="W431">
        <f>IF(AND(R431&lt;&gt;"",V431&lt;&gt;"Falls Short"),20*V431,"")</f>
        <v/>
      </c>
    </row>
    <row r="432">
      <c r="Q432">
        <f>LEFT(I432,9)</f>
        <v/>
      </c>
      <c r="R432">
        <f>TRIM(B432)</f>
        <v/>
      </c>
      <c r="S432">
        <f>COUNTIF($X$1:$X$9,R432) &gt; 0</f>
        <v/>
      </c>
      <c r="T432">
        <f>IF(AND(S432=FALSE,LEN(R432)&gt;2),4,IF(S432=TRUE,INDEX($Y$1:$Y$9,MATCH(R432,$X$1:$X$9,0)),""))</f>
        <v/>
      </c>
      <c r="U432">
        <f>IF(R432&lt;&gt;"",IF(Q437="",0,MATCH(TRUE,INDEX(Q437:$Q$1100="",0),0)-1),"")</f>
        <v/>
      </c>
      <c r="V432">
        <f>IF(AND(T432&lt;&gt;"",U432&lt;&gt;""),IF(U432-T432&lt;=0,"Falls Short",U432-T432),"")</f>
        <v/>
      </c>
      <c r="W432">
        <f>IF(AND(R432&lt;&gt;"",V432&lt;&gt;"Falls Short"),20*V432,"")</f>
        <v/>
      </c>
    </row>
    <row r="433">
      <c r="Q433">
        <f>LEFT(I433,9)</f>
        <v/>
      </c>
      <c r="R433">
        <f>TRIM(B433)</f>
        <v/>
      </c>
      <c r="S433">
        <f>COUNTIF($X$1:$X$9,R433) &gt; 0</f>
        <v/>
      </c>
      <c r="T433">
        <f>IF(AND(S433=FALSE,LEN(R433)&gt;2),4,IF(S433=TRUE,INDEX($Y$1:$Y$9,MATCH(R433,$X$1:$X$9,0)),""))</f>
        <v/>
      </c>
      <c r="U433">
        <f>IF(R433&lt;&gt;"",IF(Q438="",0,MATCH(TRUE,INDEX(Q438:$Q$1100="",0),0)-1),"")</f>
        <v/>
      </c>
      <c r="V433">
        <f>IF(AND(T433&lt;&gt;"",U433&lt;&gt;""),IF(U433-T433&lt;=0,"Falls Short",U433-T433),"")</f>
        <v/>
      </c>
      <c r="W433">
        <f>IF(AND(R433&lt;&gt;"",V433&lt;&gt;"Falls Short"),20*V433,"")</f>
        <v/>
      </c>
    </row>
    <row r="434">
      <c r="Q434">
        <f>LEFT(I434,9)</f>
        <v/>
      </c>
      <c r="R434">
        <f>TRIM(B434)</f>
        <v/>
      </c>
      <c r="S434">
        <f>COUNTIF($X$1:$X$9,R434) &gt; 0</f>
        <v/>
      </c>
      <c r="T434">
        <f>IF(AND(S434=FALSE,LEN(R434)&gt;2),4,IF(S434=TRUE,INDEX($Y$1:$Y$9,MATCH(R434,$X$1:$X$9,0)),""))</f>
        <v/>
      </c>
      <c r="U434">
        <f>IF(R434&lt;&gt;"",IF(Q439="",0,MATCH(TRUE,INDEX(Q439:$Q$1100="",0),0)-1),"")</f>
        <v/>
      </c>
      <c r="V434">
        <f>IF(AND(T434&lt;&gt;"",U434&lt;&gt;""),IF(U434-T434&lt;=0,"Falls Short",U434-T434),"")</f>
        <v/>
      </c>
      <c r="W434">
        <f>IF(AND(R434&lt;&gt;"",V434&lt;&gt;"Falls Short"),20*V434,"")</f>
        <v/>
      </c>
    </row>
    <row r="435">
      <c r="Q435">
        <f>LEFT(I435,9)</f>
        <v/>
      </c>
      <c r="R435">
        <f>TRIM(B435)</f>
        <v/>
      </c>
      <c r="S435">
        <f>COUNTIF($X$1:$X$9,R435) &gt; 0</f>
        <v/>
      </c>
      <c r="T435">
        <f>IF(AND(S435=FALSE,LEN(R435)&gt;2),4,IF(S435=TRUE,INDEX($Y$1:$Y$9,MATCH(R435,$X$1:$X$9,0)),""))</f>
        <v/>
      </c>
      <c r="U435">
        <f>IF(R435&lt;&gt;"",IF(Q440="",0,MATCH(TRUE,INDEX(Q440:$Q$1100="",0),0)-1),"")</f>
        <v/>
      </c>
      <c r="V435">
        <f>IF(AND(T435&lt;&gt;"",U435&lt;&gt;""),IF(U435-T435&lt;=0,"Falls Short",U435-T435),"")</f>
        <v/>
      </c>
      <c r="W435">
        <f>IF(AND(R435&lt;&gt;"",V435&lt;&gt;"Falls Short"),20*V435,"")</f>
        <v/>
      </c>
    </row>
    <row r="436">
      <c r="Q436">
        <f>LEFT(I436,9)</f>
        <v/>
      </c>
      <c r="R436">
        <f>TRIM(B436)</f>
        <v/>
      </c>
      <c r="S436">
        <f>COUNTIF($X$1:$X$9,R436) &gt; 0</f>
        <v/>
      </c>
      <c r="T436">
        <f>IF(AND(S436=FALSE,LEN(R436)&gt;2),4,IF(S436=TRUE,INDEX($Y$1:$Y$9,MATCH(R436,$X$1:$X$9,0)),""))</f>
        <v/>
      </c>
      <c r="U436">
        <f>IF(R436&lt;&gt;"",IF(Q441="",0,MATCH(TRUE,INDEX(Q441:$Q$1100="",0),0)-1),"")</f>
        <v/>
      </c>
      <c r="V436">
        <f>IF(AND(T436&lt;&gt;"",U436&lt;&gt;""),IF(U436-T436&lt;=0,"Falls Short",U436-T436),"")</f>
        <v/>
      </c>
      <c r="W436">
        <f>IF(AND(R436&lt;&gt;"",V436&lt;&gt;"Falls Short"),20*V436,"")</f>
        <v/>
      </c>
    </row>
    <row r="437">
      <c r="Q437">
        <f>LEFT(I437,9)</f>
        <v/>
      </c>
      <c r="R437">
        <f>TRIM(B437)</f>
        <v/>
      </c>
      <c r="S437">
        <f>COUNTIF($X$1:$X$9,R437) &gt; 0</f>
        <v/>
      </c>
      <c r="T437">
        <f>IF(AND(S437=FALSE,LEN(R437)&gt;2),4,IF(S437=TRUE,INDEX($Y$1:$Y$9,MATCH(R437,$X$1:$X$9,0)),""))</f>
        <v/>
      </c>
      <c r="U437">
        <f>IF(R437&lt;&gt;"",IF(Q442="",0,MATCH(TRUE,INDEX(Q442:$Q$1100="",0),0)-1),"")</f>
        <v/>
      </c>
      <c r="V437">
        <f>IF(AND(T437&lt;&gt;"",U437&lt;&gt;""),IF(U437-T437&lt;=0,"Falls Short",U437-T437),"")</f>
        <v/>
      </c>
      <c r="W437">
        <f>IF(AND(R437&lt;&gt;"",V437&lt;&gt;"Falls Short"),20*V437,"")</f>
        <v/>
      </c>
    </row>
    <row r="438">
      <c r="Q438">
        <f>LEFT(I438,9)</f>
        <v/>
      </c>
      <c r="R438">
        <f>TRIM(B438)</f>
        <v/>
      </c>
      <c r="S438">
        <f>COUNTIF($X$1:$X$9,R438) &gt; 0</f>
        <v/>
      </c>
      <c r="T438">
        <f>IF(AND(S438=FALSE,LEN(R438)&gt;2),4,IF(S438=TRUE,INDEX($Y$1:$Y$9,MATCH(R438,$X$1:$X$9,0)),""))</f>
        <v/>
      </c>
      <c r="U438">
        <f>IF(R438&lt;&gt;"",IF(Q443="",0,MATCH(TRUE,INDEX(Q443:$Q$1100="",0),0)-1),"")</f>
        <v/>
      </c>
      <c r="V438">
        <f>IF(AND(T438&lt;&gt;"",U438&lt;&gt;""),IF(U438-T438&lt;=0,"Falls Short",U438-T438),"")</f>
        <v/>
      </c>
      <c r="W438">
        <f>IF(AND(R438&lt;&gt;"",V438&lt;&gt;"Falls Short"),20*V438,"")</f>
        <v/>
      </c>
    </row>
    <row r="439">
      <c r="Q439">
        <f>LEFT(I439,9)</f>
        <v/>
      </c>
      <c r="R439">
        <f>TRIM(B439)</f>
        <v/>
      </c>
      <c r="S439">
        <f>COUNTIF($X$1:$X$9,R439) &gt; 0</f>
        <v/>
      </c>
      <c r="T439">
        <f>IF(AND(S439=FALSE,LEN(R439)&gt;2),4,IF(S439=TRUE,INDEX($Y$1:$Y$9,MATCH(R439,$X$1:$X$9,0)),""))</f>
        <v/>
      </c>
      <c r="U439">
        <f>IF(R439&lt;&gt;"",IF(Q444="",0,MATCH(TRUE,INDEX(Q444:$Q$1100="",0),0)-1),"")</f>
        <v/>
      </c>
      <c r="V439">
        <f>IF(AND(T439&lt;&gt;"",U439&lt;&gt;""),IF(U439-T439&lt;=0,"Falls Short",U439-T439),"")</f>
        <v/>
      </c>
      <c r="W439">
        <f>IF(AND(R439&lt;&gt;"",V439&lt;&gt;"Falls Short"),20*V439,"")</f>
        <v/>
      </c>
    </row>
    <row r="440">
      <c r="Q440">
        <f>LEFT(I440,9)</f>
        <v/>
      </c>
      <c r="R440">
        <f>TRIM(B440)</f>
        <v/>
      </c>
      <c r="S440">
        <f>COUNTIF($X$1:$X$9,R440) &gt; 0</f>
        <v/>
      </c>
      <c r="T440">
        <f>IF(AND(S440=FALSE,LEN(R440)&gt;2),4,IF(S440=TRUE,INDEX($Y$1:$Y$9,MATCH(R440,$X$1:$X$9,0)),""))</f>
        <v/>
      </c>
      <c r="U440">
        <f>IF(R440&lt;&gt;"",IF(Q445="",0,MATCH(TRUE,INDEX(Q445:$Q$1100="",0),0)-1),"")</f>
        <v/>
      </c>
      <c r="V440">
        <f>IF(AND(T440&lt;&gt;"",U440&lt;&gt;""),IF(U440-T440&lt;=0,"Falls Short",U440-T440),"")</f>
        <v/>
      </c>
      <c r="W440">
        <f>IF(AND(R440&lt;&gt;"",V440&lt;&gt;"Falls Short"),20*V440,"")</f>
        <v/>
      </c>
    </row>
    <row r="441">
      <c r="Q441">
        <f>LEFT(I441,9)</f>
        <v/>
      </c>
      <c r="R441">
        <f>TRIM(B441)</f>
        <v/>
      </c>
      <c r="S441">
        <f>COUNTIF($X$1:$X$9,R441) &gt; 0</f>
        <v/>
      </c>
      <c r="T441">
        <f>IF(AND(S441=FALSE,LEN(R441)&gt;2),4,IF(S441=TRUE,INDEX($Y$1:$Y$9,MATCH(R441,$X$1:$X$9,0)),""))</f>
        <v/>
      </c>
      <c r="U441">
        <f>IF(R441&lt;&gt;"",IF(Q446="",0,MATCH(TRUE,INDEX(Q446:$Q$1100="",0),0)-1),"")</f>
        <v/>
      </c>
      <c r="V441">
        <f>IF(AND(T441&lt;&gt;"",U441&lt;&gt;""),IF(U441-T441&lt;=0,"Falls Short",U441-T441),"")</f>
        <v/>
      </c>
      <c r="W441">
        <f>IF(AND(R441&lt;&gt;"",V441&lt;&gt;"Falls Short"),20*V441,"")</f>
        <v/>
      </c>
    </row>
    <row r="442">
      <c r="Q442">
        <f>LEFT(I442,9)</f>
        <v/>
      </c>
      <c r="R442">
        <f>TRIM(B442)</f>
        <v/>
      </c>
      <c r="S442">
        <f>COUNTIF($X$1:$X$9,R442) &gt; 0</f>
        <v/>
      </c>
      <c r="T442">
        <f>IF(AND(S442=FALSE,LEN(R442)&gt;2),4,IF(S442=TRUE,INDEX($Y$1:$Y$9,MATCH(R442,$X$1:$X$9,0)),""))</f>
        <v/>
      </c>
      <c r="U442">
        <f>IF(R442&lt;&gt;"",IF(Q447="",0,MATCH(TRUE,INDEX(Q447:$Q$1100="",0),0)-1),"")</f>
        <v/>
      </c>
      <c r="V442">
        <f>IF(AND(T442&lt;&gt;"",U442&lt;&gt;""),IF(U442-T442&lt;=0,"Falls Short",U442-T442),"")</f>
        <v/>
      </c>
      <c r="W442">
        <f>IF(AND(R442&lt;&gt;"",V442&lt;&gt;"Falls Short"),20*V442,"")</f>
        <v/>
      </c>
    </row>
    <row r="443">
      <c r="Q443">
        <f>LEFT(I443,9)</f>
        <v/>
      </c>
      <c r="R443">
        <f>TRIM(B443)</f>
        <v/>
      </c>
      <c r="S443">
        <f>COUNTIF($X$1:$X$9,R443) &gt; 0</f>
        <v/>
      </c>
      <c r="T443">
        <f>IF(AND(S443=FALSE,LEN(R443)&gt;2),4,IF(S443=TRUE,INDEX($Y$1:$Y$9,MATCH(R443,$X$1:$X$9,0)),""))</f>
        <v/>
      </c>
      <c r="U443">
        <f>IF(R443&lt;&gt;"",IF(Q448="",0,MATCH(TRUE,INDEX(Q448:$Q$1100="",0),0)-1),"")</f>
        <v/>
      </c>
      <c r="V443">
        <f>IF(AND(T443&lt;&gt;"",U443&lt;&gt;""),IF(U443-T443&lt;=0,"Falls Short",U443-T443),"")</f>
        <v/>
      </c>
      <c r="W443">
        <f>IF(AND(R443&lt;&gt;"",V443&lt;&gt;"Falls Short"),20*V443,"")</f>
        <v/>
      </c>
    </row>
    <row r="444">
      <c r="Q444">
        <f>LEFT(I444,9)</f>
        <v/>
      </c>
      <c r="R444">
        <f>TRIM(B444)</f>
        <v/>
      </c>
      <c r="S444">
        <f>COUNTIF($X$1:$X$9,R444) &gt; 0</f>
        <v/>
      </c>
      <c r="T444">
        <f>IF(AND(S444=FALSE,LEN(R444)&gt;2),4,IF(S444=TRUE,INDEX($Y$1:$Y$9,MATCH(R444,$X$1:$X$9,0)),""))</f>
        <v/>
      </c>
      <c r="U444">
        <f>IF(R444&lt;&gt;"",IF(Q449="",0,MATCH(TRUE,INDEX(Q449:$Q$1100="",0),0)-1),"")</f>
        <v/>
      </c>
      <c r="V444">
        <f>IF(AND(T444&lt;&gt;"",U444&lt;&gt;""),IF(U444-T444&lt;=0,"Falls Short",U444-T444),"")</f>
        <v/>
      </c>
      <c r="W444">
        <f>IF(AND(R444&lt;&gt;"",V444&lt;&gt;"Falls Short"),20*V444,"")</f>
        <v/>
      </c>
    </row>
    <row r="445">
      <c r="Q445">
        <f>LEFT(I445,9)</f>
        <v/>
      </c>
      <c r="R445">
        <f>TRIM(B445)</f>
        <v/>
      </c>
      <c r="S445">
        <f>COUNTIF($X$1:$X$9,R445) &gt; 0</f>
        <v/>
      </c>
      <c r="T445">
        <f>IF(AND(S445=FALSE,LEN(R445)&gt;2),4,IF(S445=TRUE,INDEX($Y$1:$Y$9,MATCH(R445,$X$1:$X$9,0)),""))</f>
        <v/>
      </c>
      <c r="U445">
        <f>IF(R445&lt;&gt;"",IF(Q450="",0,MATCH(TRUE,INDEX(Q450:$Q$1100="",0),0)-1),"")</f>
        <v/>
      </c>
      <c r="V445">
        <f>IF(AND(T445&lt;&gt;"",U445&lt;&gt;""),IF(U445-T445&lt;=0,"Falls Short",U445-T445),"")</f>
        <v/>
      </c>
      <c r="W445">
        <f>IF(AND(R445&lt;&gt;"",V445&lt;&gt;"Falls Short"),20*V445,"")</f>
        <v/>
      </c>
    </row>
    <row r="446">
      <c r="Q446">
        <f>LEFT(I446,9)</f>
        <v/>
      </c>
      <c r="R446">
        <f>TRIM(B446)</f>
        <v/>
      </c>
      <c r="S446">
        <f>COUNTIF($X$1:$X$9,R446) &gt; 0</f>
        <v/>
      </c>
      <c r="T446">
        <f>IF(AND(S446=FALSE,LEN(R446)&gt;2),4,IF(S446=TRUE,INDEX($Y$1:$Y$9,MATCH(R446,$X$1:$X$9,0)),""))</f>
        <v/>
      </c>
      <c r="U446">
        <f>IF(R446&lt;&gt;"",IF(Q451="",0,MATCH(TRUE,INDEX(Q451:$Q$1100="",0),0)-1),"")</f>
        <v/>
      </c>
      <c r="V446">
        <f>IF(AND(T446&lt;&gt;"",U446&lt;&gt;""),IF(U446-T446&lt;=0,"Falls Short",U446-T446),"")</f>
        <v/>
      </c>
      <c r="W446">
        <f>IF(AND(R446&lt;&gt;"",V446&lt;&gt;"Falls Short"),20*V446,"")</f>
        <v/>
      </c>
    </row>
    <row r="447">
      <c r="Q447">
        <f>LEFT(I447,9)</f>
        <v/>
      </c>
      <c r="R447">
        <f>TRIM(B447)</f>
        <v/>
      </c>
      <c r="S447">
        <f>COUNTIF($X$1:$X$9,R447) &gt; 0</f>
        <v/>
      </c>
      <c r="T447">
        <f>IF(AND(S447=FALSE,LEN(R447)&gt;2),4,IF(S447=TRUE,INDEX($Y$1:$Y$9,MATCH(R447,$X$1:$X$9,0)),""))</f>
        <v/>
      </c>
      <c r="U447">
        <f>IF(R447&lt;&gt;"",IF(Q452="",0,MATCH(TRUE,INDEX(Q452:$Q$1100="",0),0)-1),"")</f>
        <v/>
      </c>
      <c r="V447">
        <f>IF(AND(T447&lt;&gt;"",U447&lt;&gt;""),IF(U447-T447&lt;=0,"Falls Short",U447-T447),"")</f>
        <v/>
      </c>
      <c r="W447">
        <f>IF(AND(R447&lt;&gt;"",V447&lt;&gt;"Falls Short"),20*V447,"")</f>
        <v/>
      </c>
    </row>
    <row r="448">
      <c r="Q448">
        <f>LEFT(I448,9)</f>
        <v/>
      </c>
      <c r="R448">
        <f>TRIM(B448)</f>
        <v/>
      </c>
      <c r="S448">
        <f>COUNTIF($X$1:$X$9,R448) &gt; 0</f>
        <v/>
      </c>
      <c r="T448">
        <f>IF(AND(S448=FALSE,LEN(R448)&gt;2),4,IF(S448=TRUE,INDEX($Y$1:$Y$9,MATCH(R448,$X$1:$X$9,0)),""))</f>
        <v/>
      </c>
      <c r="U448">
        <f>IF(R448&lt;&gt;"",IF(Q453="",0,MATCH(TRUE,INDEX(Q453:$Q$1100="",0),0)-1),"")</f>
        <v/>
      </c>
      <c r="V448">
        <f>IF(AND(T448&lt;&gt;"",U448&lt;&gt;""),IF(U448-T448&lt;=0,"Falls Short",U448-T448),"")</f>
        <v/>
      </c>
      <c r="W448">
        <f>IF(AND(R448&lt;&gt;"",V448&lt;&gt;"Falls Short"),20*V448,"")</f>
        <v/>
      </c>
    </row>
    <row r="449">
      <c r="Q449">
        <f>LEFT(I449,9)</f>
        <v/>
      </c>
      <c r="R449">
        <f>TRIM(B449)</f>
        <v/>
      </c>
      <c r="S449">
        <f>COUNTIF($X$1:$X$9,R449) &gt; 0</f>
        <v/>
      </c>
      <c r="T449">
        <f>IF(AND(S449=FALSE,LEN(R449)&gt;2),4,IF(S449=TRUE,INDEX($Y$1:$Y$9,MATCH(R449,$X$1:$X$9,0)),""))</f>
        <v/>
      </c>
      <c r="U449">
        <f>IF(R449&lt;&gt;"",IF(Q454="",0,MATCH(TRUE,INDEX(Q454:$Q$1100="",0),0)-1),"")</f>
        <v/>
      </c>
      <c r="V449">
        <f>IF(AND(T449&lt;&gt;"",U449&lt;&gt;""),IF(U449-T449&lt;=0,"Falls Short",U449-T449),"")</f>
        <v/>
      </c>
      <c r="W449">
        <f>IF(AND(R449&lt;&gt;"",V449&lt;&gt;"Falls Short"),20*V449,"")</f>
        <v/>
      </c>
    </row>
    <row r="450">
      <c r="Q450">
        <f>LEFT(I450,9)</f>
        <v/>
      </c>
      <c r="R450">
        <f>TRIM(B450)</f>
        <v/>
      </c>
      <c r="S450">
        <f>COUNTIF($X$1:$X$9,R450) &gt; 0</f>
        <v/>
      </c>
      <c r="T450">
        <f>IF(AND(S450=FALSE,LEN(R450)&gt;2),4,IF(S450=TRUE,INDEX($Y$1:$Y$9,MATCH(R450,$X$1:$X$9,0)),""))</f>
        <v/>
      </c>
      <c r="U450">
        <f>IF(R450&lt;&gt;"",IF(Q455="",0,MATCH(TRUE,INDEX(Q455:$Q$1100="",0),0)-1),"")</f>
        <v/>
      </c>
      <c r="V450">
        <f>IF(AND(T450&lt;&gt;"",U450&lt;&gt;""),IF(U450-T450&lt;=0,"Falls Short",U450-T450),"")</f>
        <v/>
      </c>
      <c r="W450">
        <f>IF(AND(R450&lt;&gt;"",V450&lt;&gt;"Falls Short"),20*V450,"")</f>
        <v/>
      </c>
    </row>
    <row r="451">
      <c r="Q451">
        <f>LEFT(I451,9)</f>
        <v/>
      </c>
      <c r="R451">
        <f>TRIM(B451)</f>
        <v/>
      </c>
      <c r="S451">
        <f>COUNTIF($X$1:$X$9,R451) &gt; 0</f>
        <v/>
      </c>
      <c r="T451">
        <f>IF(AND(S451=FALSE,LEN(R451)&gt;2),4,IF(S451=TRUE,INDEX($Y$1:$Y$9,MATCH(R451,$X$1:$X$9,0)),""))</f>
        <v/>
      </c>
      <c r="U451">
        <f>IF(R451&lt;&gt;"",IF(Q456="",0,MATCH(TRUE,INDEX(Q456:$Q$1100="",0),0)-1),"")</f>
        <v/>
      </c>
      <c r="V451">
        <f>IF(AND(T451&lt;&gt;"",U451&lt;&gt;""),IF(U451-T451&lt;=0,"Falls Short",U451-T451),"")</f>
        <v/>
      </c>
      <c r="W451">
        <f>IF(AND(R451&lt;&gt;"",V451&lt;&gt;"Falls Short"),20*V451,"")</f>
        <v/>
      </c>
    </row>
    <row r="452">
      <c r="Q452">
        <f>LEFT(I452,9)</f>
        <v/>
      </c>
      <c r="R452">
        <f>TRIM(B452)</f>
        <v/>
      </c>
      <c r="S452">
        <f>COUNTIF($X$1:$X$9,R452) &gt; 0</f>
        <v/>
      </c>
      <c r="T452">
        <f>IF(AND(S452=FALSE,LEN(R452)&gt;2),4,IF(S452=TRUE,INDEX($Y$1:$Y$9,MATCH(R452,$X$1:$X$9,0)),""))</f>
        <v/>
      </c>
      <c r="U452">
        <f>IF(R452&lt;&gt;"",IF(Q457="",0,MATCH(TRUE,INDEX(Q457:$Q$1100="",0),0)-1),"")</f>
        <v/>
      </c>
      <c r="V452">
        <f>IF(AND(T452&lt;&gt;"",U452&lt;&gt;""),IF(U452-T452&lt;=0,"Falls Short",U452-T452),"")</f>
        <v/>
      </c>
      <c r="W452">
        <f>IF(AND(R452&lt;&gt;"",V452&lt;&gt;"Falls Short"),20*V452,"")</f>
        <v/>
      </c>
    </row>
    <row r="453">
      <c r="Q453">
        <f>LEFT(I453,9)</f>
        <v/>
      </c>
      <c r="R453">
        <f>TRIM(B453)</f>
        <v/>
      </c>
      <c r="S453">
        <f>COUNTIF($X$1:$X$9,R453) &gt; 0</f>
        <v/>
      </c>
      <c r="T453">
        <f>IF(AND(S453=FALSE,LEN(R453)&gt;2),4,IF(S453=TRUE,INDEX($Y$1:$Y$9,MATCH(R453,$X$1:$X$9,0)),""))</f>
        <v/>
      </c>
      <c r="U453">
        <f>IF(R453&lt;&gt;"",IF(Q458="",0,MATCH(TRUE,INDEX(Q458:$Q$1100="",0),0)-1),"")</f>
        <v/>
      </c>
      <c r="V453">
        <f>IF(AND(T453&lt;&gt;"",U453&lt;&gt;""),IF(U453-T453&lt;=0,"Falls Short",U453-T453),"")</f>
        <v/>
      </c>
      <c r="W453">
        <f>IF(AND(R453&lt;&gt;"",V453&lt;&gt;"Falls Short"),20*V453,"")</f>
        <v/>
      </c>
    </row>
    <row r="454">
      <c r="Q454">
        <f>LEFT(I454,9)</f>
        <v/>
      </c>
      <c r="R454">
        <f>TRIM(B454)</f>
        <v/>
      </c>
      <c r="S454">
        <f>COUNTIF($X$1:$X$9,R454) &gt; 0</f>
        <v/>
      </c>
      <c r="T454">
        <f>IF(AND(S454=FALSE,LEN(R454)&gt;2),4,IF(S454=TRUE,INDEX($Y$1:$Y$9,MATCH(R454,$X$1:$X$9,0)),""))</f>
        <v/>
      </c>
      <c r="U454">
        <f>IF(R454&lt;&gt;"",IF(Q459="",0,MATCH(TRUE,INDEX(Q459:$Q$1100="",0),0)-1),"")</f>
        <v/>
      </c>
      <c r="V454">
        <f>IF(AND(T454&lt;&gt;"",U454&lt;&gt;""),IF(U454-T454&lt;=0,"Falls Short",U454-T454),"")</f>
        <v/>
      </c>
      <c r="W454">
        <f>IF(AND(R454&lt;&gt;"",V454&lt;&gt;"Falls Short"),20*V454,"")</f>
        <v/>
      </c>
    </row>
    <row r="455">
      <c r="Q455">
        <f>LEFT(I455,9)</f>
        <v/>
      </c>
      <c r="R455">
        <f>TRIM(B455)</f>
        <v/>
      </c>
      <c r="S455">
        <f>COUNTIF($X$1:$X$9,R455) &gt; 0</f>
        <v/>
      </c>
      <c r="T455">
        <f>IF(AND(S455=FALSE,LEN(R455)&gt;2),4,IF(S455=TRUE,INDEX($Y$1:$Y$9,MATCH(R455,$X$1:$X$9,0)),""))</f>
        <v/>
      </c>
      <c r="U455">
        <f>IF(R455&lt;&gt;"",IF(Q460="",0,MATCH(TRUE,INDEX(Q460:$Q$1100="",0),0)-1),"")</f>
        <v/>
      </c>
      <c r="V455">
        <f>IF(AND(T455&lt;&gt;"",U455&lt;&gt;""),IF(U455-T455&lt;=0,"Falls Short",U455-T455),"")</f>
        <v/>
      </c>
      <c r="W455">
        <f>IF(AND(R455&lt;&gt;"",V455&lt;&gt;"Falls Short"),20*V455,"")</f>
        <v/>
      </c>
    </row>
    <row r="456">
      <c r="Q456">
        <f>LEFT(I456,9)</f>
        <v/>
      </c>
      <c r="R456">
        <f>TRIM(B456)</f>
        <v/>
      </c>
      <c r="S456">
        <f>COUNTIF($X$1:$X$9,R456) &gt; 0</f>
        <v/>
      </c>
      <c r="T456">
        <f>IF(AND(S456=FALSE,LEN(R456)&gt;2),4,IF(S456=TRUE,INDEX($Y$1:$Y$9,MATCH(R456,$X$1:$X$9,0)),""))</f>
        <v/>
      </c>
      <c r="U456">
        <f>IF(R456&lt;&gt;"",IF(Q461="",0,MATCH(TRUE,INDEX(Q461:$Q$1100="",0),0)-1),"")</f>
        <v/>
      </c>
      <c r="V456">
        <f>IF(AND(T456&lt;&gt;"",U456&lt;&gt;""),IF(U456-T456&lt;=0,"Falls Short",U456-T456),"")</f>
        <v/>
      </c>
      <c r="W456">
        <f>IF(AND(R456&lt;&gt;"",V456&lt;&gt;"Falls Short"),20*V456,"")</f>
        <v/>
      </c>
    </row>
    <row r="457">
      <c r="Q457">
        <f>LEFT(I457,9)</f>
        <v/>
      </c>
      <c r="R457">
        <f>TRIM(B457)</f>
        <v/>
      </c>
      <c r="S457">
        <f>COUNTIF($X$1:$X$9,R457) &gt; 0</f>
        <v/>
      </c>
      <c r="T457">
        <f>IF(AND(S457=FALSE,LEN(R457)&gt;2),4,IF(S457=TRUE,INDEX($Y$1:$Y$9,MATCH(R457,$X$1:$X$9,0)),""))</f>
        <v/>
      </c>
      <c r="U457">
        <f>IF(R457&lt;&gt;"",IF(Q462="",0,MATCH(TRUE,INDEX(Q462:$Q$1100="",0),0)-1),"")</f>
        <v/>
      </c>
      <c r="V457">
        <f>IF(AND(T457&lt;&gt;"",U457&lt;&gt;""),IF(U457-T457&lt;=0,"Falls Short",U457-T457),"")</f>
        <v/>
      </c>
      <c r="W457">
        <f>IF(AND(R457&lt;&gt;"",V457&lt;&gt;"Falls Short"),20*V457,"")</f>
        <v/>
      </c>
    </row>
    <row r="458">
      <c r="Q458">
        <f>LEFT(I458,9)</f>
        <v/>
      </c>
      <c r="R458">
        <f>TRIM(B458)</f>
        <v/>
      </c>
      <c r="S458">
        <f>COUNTIF($X$1:$X$9,R458) &gt; 0</f>
        <v/>
      </c>
      <c r="T458">
        <f>IF(AND(S458=FALSE,LEN(R458)&gt;2),4,IF(S458=TRUE,INDEX($Y$1:$Y$9,MATCH(R458,$X$1:$X$9,0)),""))</f>
        <v/>
      </c>
      <c r="U458">
        <f>IF(R458&lt;&gt;"",IF(Q463="",0,MATCH(TRUE,INDEX(Q463:$Q$1100="",0),0)-1),"")</f>
        <v/>
      </c>
      <c r="V458">
        <f>IF(AND(T458&lt;&gt;"",U458&lt;&gt;""),IF(U458-T458&lt;=0,"Falls Short",U458-T458),"")</f>
        <v/>
      </c>
      <c r="W458">
        <f>IF(AND(R458&lt;&gt;"",V458&lt;&gt;"Falls Short"),20*V458,"")</f>
        <v/>
      </c>
    </row>
    <row r="459">
      <c r="Q459">
        <f>LEFT(I459,9)</f>
        <v/>
      </c>
      <c r="R459">
        <f>TRIM(B459)</f>
        <v/>
      </c>
      <c r="S459">
        <f>COUNTIF($X$1:$X$9,R459) &gt; 0</f>
        <v/>
      </c>
      <c r="T459">
        <f>IF(AND(S459=FALSE,LEN(R459)&gt;2),4,IF(S459=TRUE,INDEX($Y$1:$Y$9,MATCH(R459,$X$1:$X$9,0)),""))</f>
        <v/>
      </c>
      <c r="U459">
        <f>IF(R459&lt;&gt;"",IF(Q464="",0,MATCH(TRUE,INDEX(Q464:$Q$1100="",0),0)-1),"")</f>
        <v/>
      </c>
      <c r="V459">
        <f>IF(AND(T459&lt;&gt;"",U459&lt;&gt;""),IF(U459-T459&lt;=0,"Falls Short",U459-T459),"")</f>
        <v/>
      </c>
      <c r="W459">
        <f>IF(AND(R459&lt;&gt;"",V459&lt;&gt;"Falls Short"),20*V459,"")</f>
        <v/>
      </c>
    </row>
    <row r="460">
      <c r="Q460">
        <f>LEFT(I460,9)</f>
        <v/>
      </c>
      <c r="R460">
        <f>TRIM(B460)</f>
        <v/>
      </c>
      <c r="S460">
        <f>COUNTIF($X$1:$X$9,R460) &gt; 0</f>
        <v/>
      </c>
      <c r="T460">
        <f>IF(AND(S460=FALSE,LEN(R460)&gt;2),4,IF(S460=TRUE,INDEX($Y$1:$Y$9,MATCH(R460,$X$1:$X$9,0)),""))</f>
        <v/>
      </c>
      <c r="U460">
        <f>IF(R460&lt;&gt;"",IF(Q465="",0,MATCH(TRUE,INDEX(Q465:$Q$1100="",0),0)-1),"")</f>
        <v/>
      </c>
      <c r="V460">
        <f>IF(AND(T460&lt;&gt;"",U460&lt;&gt;""),IF(U460-T460&lt;=0,"Falls Short",U460-T460),"")</f>
        <v/>
      </c>
      <c r="W460">
        <f>IF(AND(R460&lt;&gt;"",V460&lt;&gt;"Falls Short"),20*V460,"")</f>
        <v/>
      </c>
    </row>
    <row r="461">
      <c r="Q461">
        <f>LEFT(I461,9)</f>
        <v/>
      </c>
      <c r="R461">
        <f>TRIM(B461)</f>
        <v/>
      </c>
      <c r="S461">
        <f>COUNTIF($X$1:$X$9,R461) &gt; 0</f>
        <v/>
      </c>
      <c r="T461">
        <f>IF(AND(S461=FALSE,LEN(R461)&gt;2),4,IF(S461=TRUE,INDEX($Y$1:$Y$9,MATCH(R461,$X$1:$X$9,0)),""))</f>
        <v/>
      </c>
      <c r="U461">
        <f>IF(R461&lt;&gt;"",IF(Q466="",0,MATCH(TRUE,INDEX(Q466:$Q$1100="",0),0)-1),"")</f>
        <v/>
      </c>
      <c r="V461">
        <f>IF(AND(T461&lt;&gt;"",U461&lt;&gt;""),IF(U461-T461&lt;=0,"Falls Short",U461-T461),"")</f>
        <v/>
      </c>
      <c r="W461">
        <f>IF(AND(R461&lt;&gt;"",V461&lt;&gt;"Falls Short"),20*V461,"")</f>
        <v/>
      </c>
    </row>
    <row r="462">
      <c r="Q462">
        <f>LEFT(I462,9)</f>
        <v/>
      </c>
      <c r="R462">
        <f>TRIM(B462)</f>
        <v/>
      </c>
      <c r="S462">
        <f>COUNTIF($X$1:$X$9,R462) &gt; 0</f>
        <v/>
      </c>
      <c r="T462">
        <f>IF(AND(S462=FALSE,LEN(R462)&gt;2),4,IF(S462=TRUE,INDEX($Y$1:$Y$9,MATCH(R462,$X$1:$X$9,0)),""))</f>
        <v/>
      </c>
      <c r="U462">
        <f>IF(R462&lt;&gt;"",IF(Q467="",0,MATCH(TRUE,INDEX(Q467:$Q$1100="",0),0)-1),"")</f>
        <v/>
      </c>
      <c r="V462">
        <f>IF(AND(T462&lt;&gt;"",U462&lt;&gt;""),IF(U462-T462&lt;=0,"Falls Short",U462-T462),"")</f>
        <v/>
      </c>
      <c r="W462">
        <f>IF(AND(R462&lt;&gt;"",V462&lt;&gt;"Falls Short"),20*V462,"")</f>
        <v/>
      </c>
    </row>
    <row r="463">
      <c r="Q463">
        <f>LEFT(I463,9)</f>
        <v/>
      </c>
      <c r="R463">
        <f>TRIM(B463)</f>
        <v/>
      </c>
      <c r="S463">
        <f>COUNTIF($X$1:$X$9,R463) &gt; 0</f>
        <v/>
      </c>
      <c r="T463">
        <f>IF(AND(S463=FALSE,LEN(R463)&gt;2),4,IF(S463=TRUE,INDEX($Y$1:$Y$9,MATCH(R463,$X$1:$X$9,0)),""))</f>
        <v/>
      </c>
      <c r="U463">
        <f>IF(R463&lt;&gt;"",IF(Q468="",0,MATCH(TRUE,INDEX(Q468:$Q$1100="",0),0)-1),"")</f>
        <v/>
      </c>
      <c r="V463">
        <f>IF(AND(T463&lt;&gt;"",U463&lt;&gt;""),IF(U463-T463&lt;=0,"Falls Short",U463-T463),"")</f>
        <v/>
      </c>
      <c r="W463">
        <f>IF(AND(R463&lt;&gt;"",V463&lt;&gt;"Falls Short"),20*V463,"")</f>
        <v/>
      </c>
    </row>
    <row r="464">
      <c r="Q464">
        <f>LEFT(I464,9)</f>
        <v/>
      </c>
      <c r="R464">
        <f>TRIM(B464)</f>
        <v/>
      </c>
      <c r="S464">
        <f>COUNTIF($X$1:$X$9,R464) &gt; 0</f>
        <v/>
      </c>
      <c r="T464">
        <f>IF(AND(S464=FALSE,LEN(R464)&gt;2),4,IF(S464=TRUE,INDEX($Y$1:$Y$9,MATCH(R464,$X$1:$X$9,0)),""))</f>
        <v/>
      </c>
      <c r="U464">
        <f>IF(R464&lt;&gt;"",IF(Q469="",0,MATCH(TRUE,INDEX(Q469:$Q$1100="",0),0)-1),"")</f>
        <v/>
      </c>
      <c r="V464">
        <f>IF(AND(T464&lt;&gt;"",U464&lt;&gt;""),IF(U464-T464&lt;=0,"Falls Short",U464-T464),"")</f>
        <v/>
      </c>
      <c r="W464">
        <f>IF(AND(R464&lt;&gt;"",V464&lt;&gt;"Falls Short"),20*V464,"")</f>
        <v/>
      </c>
    </row>
    <row r="465">
      <c r="Q465">
        <f>LEFT(I465,9)</f>
        <v/>
      </c>
      <c r="R465">
        <f>TRIM(B465)</f>
        <v/>
      </c>
      <c r="S465">
        <f>COUNTIF($X$1:$X$9,R465) &gt; 0</f>
        <v/>
      </c>
      <c r="T465">
        <f>IF(AND(S465=FALSE,LEN(R465)&gt;2),4,IF(S465=TRUE,INDEX($Y$1:$Y$9,MATCH(R465,$X$1:$X$9,0)),""))</f>
        <v/>
      </c>
      <c r="U465">
        <f>IF(R465&lt;&gt;"",IF(Q470="",0,MATCH(TRUE,INDEX(Q470:$Q$1100="",0),0)-1),"")</f>
        <v/>
      </c>
      <c r="V465">
        <f>IF(AND(T465&lt;&gt;"",U465&lt;&gt;""),IF(U465-T465&lt;=0,"Falls Short",U465-T465),"")</f>
        <v/>
      </c>
      <c r="W465">
        <f>IF(AND(R465&lt;&gt;"",V465&lt;&gt;"Falls Short"),20*V465,"")</f>
        <v/>
      </c>
    </row>
    <row r="466">
      <c r="Q466">
        <f>LEFT(I466,9)</f>
        <v/>
      </c>
      <c r="R466">
        <f>TRIM(B466)</f>
        <v/>
      </c>
      <c r="S466">
        <f>COUNTIF($X$1:$X$9,R466) &gt; 0</f>
        <v/>
      </c>
      <c r="T466">
        <f>IF(AND(S466=FALSE,LEN(R466)&gt;2),4,IF(S466=TRUE,INDEX($Y$1:$Y$9,MATCH(R466,$X$1:$X$9,0)),""))</f>
        <v/>
      </c>
      <c r="U466">
        <f>IF(R466&lt;&gt;"",IF(Q471="",0,MATCH(TRUE,INDEX(Q471:$Q$1100="",0),0)-1),"")</f>
        <v/>
      </c>
      <c r="V466">
        <f>IF(AND(T466&lt;&gt;"",U466&lt;&gt;""),IF(U466-T466&lt;=0,"Falls Short",U466-T466),"")</f>
        <v/>
      </c>
      <c r="W466">
        <f>IF(AND(R466&lt;&gt;"",V466&lt;&gt;"Falls Short"),20*V466,"")</f>
        <v/>
      </c>
    </row>
    <row r="467">
      <c r="Q467">
        <f>LEFT(I467,9)</f>
        <v/>
      </c>
      <c r="R467">
        <f>TRIM(B467)</f>
        <v/>
      </c>
      <c r="S467">
        <f>COUNTIF($X$1:$X$9,R467) &gt; 0</f>
        <v/>
      </c>
      <c r="T467">
        <f>IF(AND(S467=FALSE,LEN(R467)&gt;2),4,IF(S467=TRUE,INDEX($Y$1:$Y$9,MATCH(R467,$X$1:$X$9,0)),""))</f>
        <v/>
      </c>
      <c r="U467">
        <f>IF(R467&lt;&gt;"",IF(Q472="",0,MATCH(TRUE,INDEX(Q472:$Q$1100="",0),0)-1),"")</f>
        <v/>
      </c>
      <c r="V467">
        <f>IF(AND(T467&lt;&gt;"",U467&lt;&gt;""),IF(U467-T467&lt;=0,"Falls Short",U467-T467),"")</f>
        <v/>
      </c>
      <c r="W467">
        <f>IF(AND(R467&lt;&gt;"",V467&lt;&gt;"Falls Short"),20*V467,"")</f>
        <v/>
      </c>
    </row>
    <row r="468">
      <c r="Q468">
        <f>LEFT(I468,9)</f>
        <v/>
      </c>
      <c r="R468">
        <f>TRIM(B468)</f>
        <v/>
      </c>
      <c r="S468">
        <f>COUNTIF($X$1:$X$9,R468) &gt; 0</f>
        <v/>
      </c>
      <c r="T468">
        <f>IF(AND(S468=FALSE,LEN(R468)&gt;2),4,IF(S468=TRUE,INDEX($Y$1:$Y$9,MATCH(R468,$X$1:$X$9,0)),""))</f>
        <v/>
      </c>
      <c r="U468">
        <f>IF(R468&lt;&gt;"",IF(Q473="",0,MATCH(TRUE,INDEX(Q473:$Q$1100="",0),0)-1),"")</f>
        <v/>
      </c>
      <c r="V468">
        <f>IF(AND(T468&lt;&gt;"",U468&lt;&gt;""),IF(U468-T468&lt;=0,"Falls Short",U468-T468),"")</f>
        <v/>
      </c>
      <c r="W468">
        <f>IF(AND(R468&lt;&gt;"",V468&lt;&gt;"Falls Short"),20*V468,"")</f>
        <v/>
      </c>
    </row>
    <row r="469">
      <c r="Q469">
        <f>LEFT(I469,9)</f>
        <v/>
      </c>
      <c r="R469">
        <f>TRIM(B469)</f>
        <v/>
      </c>
      <c r="S469">
        <f>COUNTIF($X$1:$X$9,R469) &gt; 0</f>
        <v/>
      </c>
      <c r="T469">
        <f>IF(AND(S469=FALSE,LEN(R469)&gt;2),4,IF(S469=TRUE,INDEX($Y$1:$Y$9,MATCH(R469,$X$1:$X$9,0)),""))</f>
        <v/>
      </c>
      <c r="U469">
        <f>IF(R469&lt;&gt;"",IF(Q474="",0,MATCH(TRUE,INDEX(Q474:$Q$1100="",0),0)-1),"")</f>
        <v/>
      </c>
      <c r="V469">
        <f>IF(AND(T469&lt;&gt;"",U469&lt;&gt;""),IF(U469-T469&lt;=0,"Falls Short",U469-T469),"")</f>
        <v/>
      </c>
      <c r="W469">
        <f>IF(AND(R469&lt;&gt;"",V469&lt;&gt;"Falls Short"),20*V469,"")</f>
        <v/>
      </c>
    </row>
    <row r="470">
      <c r="Q470">
        <f>LEFT(I470,9)</f>
        <v/>
      </c>
      <c r="R470">
        <f>TRIM(B470)</f>
        <v/>
      </c>
      <c r="S470">
        <f>COUNTIF($X$1:$X$9,R470) &gt; 0</f>
        <v/>
      </c>
      <c r="T470">
        <f>IF(AND(S470=FALSE,LEN(R470)&gt;2),4,IF(S470=TRUE,INDEX($Y$1:$Y$9,MATCH(R470,$X$1:$X$9,0)),""))</f>
        <v/>
      </c>
      <c r="U470">
        <f>IF(R470&lt;&gt;"",IF(Q475="",0,MATCH(TRUE,INDEX(Q475:$Q$1100="",0),0)-1),"")</f>
        <v/>
      </c>
      <c r="V470">
        <f>IF(AND(T470&lt;&gt;"",U470&lt;&gt;""),IF(U470-T470&lt;=0,"Falls Short",U470-T470),"")</f>
        <v/>
      </c>
      <c r="W470">
        <f>IF(AND(R470&lt;&gt;"",V470&lt;&gt;"Falls Short"),20*V470,"")</f>
        <v/>
      </c>
    </row>
    <row r="471">
      <c r="Q471">
        <f>LEFT(I471,9)</f>
        <v/>
      </c>
      <c r="R471">
        <f>TRIM(B471)</f>
        <v/>
      </c>
      <c r="S471">
        <f>COUNTIF($X$1:$X$9,R471) &gt; 0</f>
        <v/>
      </c>
      <c r="T471">
        <f>IF(AND(S471=FALSE,LEN(R471)&gt;2),4,IF(S471=TRUE,INDEX($Y$1:$Y$9,MATCH(R471,$X$1:$X$9,0)),""))</f>
        <v/>
      </c>
      <c r="U471">
        <f>IF(R471&lt;&gt;"",IF(Q476="",0,MATCH(TRUE,INDEX(Q476:$Q$1100="",0),0)-1),"")</f>
        <v/>
      </c>
      <c r="V471">
        <f>IF(AND(T471&lt;&gt;"",U471&lt;&gt;""),IF(U471-T471&lt;=0,"Falls Short",U471-T471),"")</f>
        <v/>
      </c>
      <c r="W471">
        <f>IF(AND(R471&lt;&gt;"",V471&lt;&gt;"Falls Short"),20*V471,"")</f>
        <v/>
      </c>
    </row>
    <row r="472">
      <c r="Q472">
        <f>LEFT(I472,9)</f>
        <v/>
      </c>
      <c r="R472">
        <f>TRIM(B472)</f>
        <v/>
      </c>
      <c r="S472">
        <f>COUNTIF($X$1:$X$9,R472) &gt; 0</f>
        <v/>
      </c>
      <c r="T472">
        <f>IF(AND(S472=FALSE,LEN(R472)&gt;2),4,IF(S472=TRUE,INDEX($Y$1:$Y$9,MATCH(R472,$X$1:$X$9,0)),""))</f>
        <v/>
      </c>
      <c r="U472">
        <f>IF(R472&lt;&gt;"",IF(Q477="",0,MATCH(TRUE,INDEX(Q477:$Q$1100="",0),0)-1),"")</f>
        <v/>
      </c>
      <c r="V472">
        <f>IF(AND(T472&lt;&gt;"",U472&lt;&gt;""),IF(U472-T472&lt;=0,"Falls Short",U472-T472),"")</f>
        <v/>
      </c>
      <c r="W472">
        <f>IF(AND(R472&lt;&gt;"",V472&lt;&gt;"Falls Short"),20*V472,"")</f>
        <v/>
      </c>
    </row>
    <row r="473">
      <c r="Q473">
        <f>LEFT(I473,9)</f>
        <v/>
      </c>
      <c r="R473">
        <f>TRIM(B473)</f>
        <v/>
      </c>
      <c r="S473">
        <f>COUNTIF($X$1:$X$9,R473) &gt; 0</f>
        <v/>
      </c>
      <c r="T473">
        <f>IF(AND(S473=FALSE,LEN(R473)&gt;2),4,IF(S473=TRUE,INDEX($Y$1:$Y$9,MATCH(R473,$X$1:$X$9,0)),""))</f>
        <v/>
      </c>
      <c r="U473">
        <f>IF(R473&lt;&gt;"",IF(Q478="",0,MATCH(TRUE,INDEX(Q478:$Q$1100="",0),0)-1),"")</f>
        <v/>
      </c>
      <c r="V473">
        <f>IF(AND(T473&lt;&gt;"",U473&lt;&gt;""),IF(U473-T473&lt;=0,"Falls Short",U473-T473),"")</f>
        <v/>
      </c>
      <c r="W473">
        <f>IF(AND(R473&lt;&gt;"",V473&lt;&gt;"Falls Short"),20*V473,"")</f>
        <v/>
      </c>
    </row>
    <row r="474">
      <c r="Q474">
        <f>LEFT(I474,9)</f>
        <v/>
      </c>
      <c r="R474">
        <f>TRIM(B474)</f>
        <v/>
      </c>
      <c r="S474">
        <f>COUNTIF($X$1:$X$9,R474) &gt; 0</f>
        <v/>
      </c>
      <c r="T474">
        <f>IF(AND(S474=FALSE,LEN(R474)&gt;2),4,IF(S474=TRUE,INDEX($Y$1:$Y$9,MATCH(R474,$X$1:$X$9,0)),""))</f>
        <v/>
      </c>
      <c r="U474">
        <f>IF(R474&lt;&gt;"",IF(Q479="",0,MATCH(TRUE,INDEX(Q479:$Q$1100="",0),0)-1),"")</f>
        <v/>
      </c>
      <c r="V474">
        <f>IF(AND(T474&lt;&gt;"",U474&lt;&gt;""),IF(U474-T474&lt;=0,"Falls Short",U474-T474),"")</f>
        <v/>
      </c>
      <c r="W474">
        <f>IF(AND(R474&lt;&gt;"",V474&lt;&gt;"Falls Short"),20*V474,"")</f>
        <v/>
      </c>
    </row>
    <row r="475">
      <c r="Q475">
        <f>LEFT(I475,9)</f>
        <v/>
      </c>
      <c r="R475">
        <f>TRIM(B475)</f>
        <v/>
      </c>
      <c r="S475">
        <f>COUNTIF($X$1:$X$9,R475) &gt; 0</f>
        <v/>
      </c>
      <c r="T475">
        <f>IF(AND(S475=FALSE,LEN(R475)&gt;2),4,IF(S475=TRUE,INDEX($Y$1:$Y$9,MATCH(R475,$X$1:$X$9,0)),""))</f>
        <v/>
      </c>
      <c r="U475">
        <f>IF(R475&lt;&gt;"",IF(Q480="",0,MATCH(TRUE,INDEX(Q480:$Q$1100="",0),0)-1),"")</f>
        <v/>
      </c>
      <c r="V475">
        <f>IF(AND(T475&lt;&gt;"",U475&lt;&gt;""),IF(U475-T475&lt;=0,"Falls Short",U475-T475),"")</f>
        <v/>
      </c>
      <c r="W475">
        <f>IF(AND(R475&lt;&gt;"",V475&lt;&gt;"Falls Short"),20*V475,"")</f>
        <v/>
      </c>
    </row>
    <row r="476">
      <c r="Q476">
        <f>LEFT(I476,9)</f>
        <v/>
      </c>
      <c r="R476">
        <f>TRIM(B476)</f>
        <v/>
      </c>
      <c r="S476">
        <f>COUNTIF($X$1:$X$9,R476) &gt; 0</f>
        <v/>
      </c>
      <c r="T476">
        <f>IF(AND(S476=FALSE,LEN(R476)&gt;2),4,IF(S476=TRUE,INDEX($Y$1:$Y$9,MATCH(R476,$X$1:$X$9,0)),""))</f>
        <v/>
      </c>
      <c r="U476">
        <f>IF(R476&lt;&gt;"",IF(Q481="",0,MATCH(TRUE,INDEX(Q481:$Q$1100="",0),0)-1),"")</f>
        <v/>
      </c>
      <c r="V476">
        <f>IF(AND(T476&lt;&gt;"",U476&lt;&gt;""),IF(U476-T476&lt;=0,"Falls Short",U476-T476),"")</f>
        <v/>
      </c>
      <c r="W476">
        <f>IF(AND(R476&lt;&gt;"",V476&lt;&gt;"Falls Short"),20*V476,"")</f>
        <v/>
      </c>
    </row>
    <row r="477">
      <c r="Q477">
        <f>LEFT(I477,9)</f>
        <v/>
      </c>
      <c r="R477">
        <f>TRIM(B477)</f>
        <v/>
      </c>
      <c r="S477">
        <f>COUNTIF($X$1:$X$9,R477) &gt; 0</f>
        <v/>
      </c>
      <c r="T477">
        <f>IF(AND(S477=FALSE,LEN(R477)&gt;2),4,IF(S477=TRUE,INDEX($Y$1:$Y$9,MATCH(R477,$X$1:$X$9,0)),""))</f>
        <v/>
      </c>
      <c r="U477">
        <f>IF(R477&lt;&gt;"",IF(Q482="",0,MATCH(TRUE,INDEX(Q482:$Q$1100="",0),0)-1),"")</f>
        <v/>
      </c>
      <c r="V477">
        <f>IF(AND(T477&lt;&gt;"",U477&lt;&gt;""),IF(U477-T477&lt;=0,"Falls Short",U477-T477),"")</f>
        <v/>
      </c>
      <c r="W477">
        <f>IF(AND(R477&lt;&gt;"",V477&lt;&gt;"Falls Short"),20*V477,"")</f>
        <v/>
      </c>
    </row>
    <row r="478">
      <c r="Q478">
        <f>LEFT(I478,9)</f>
        <v/>
      </c>
      <c r="R478">
        <f>TRIM(B478)</f>
        <v/>
      </c>
      <c r="S478">
        <f>COUNTIF($X$1:$X$9,R478) &gt; 0</f>
        <v/>
      </c>
      <c r="T478">
        <f>IF(AND(S478=FALSE,LEN(R478)&gt;2),4,IF(S478=TRUE,INDEX($Y$1:$Y$9,MATCH(R478,$X$1:$X$9,0)),""))</f>
        <v/>
      </c>
      <c r="U478">
        <f>IF(R478&lt;&gt;"",IF(Q483="",0,MATCH(TRUE,INDEX(Q483:$Q$1100="",0),0)-1),"")</f>
        <v/>
      </c>
      <c r="V478">
        <f>IF(AND(T478&lt;&gt;"",U478&lt;&gt;""),IF(U478-T478&lt;=0,"Falls Short",U478-T478),"")</f>
        <v/>
      </c>
      <c r="W478">
        <f>IF(AND(R478&lt;&gt;"",V478&lt;&gt;"Falls Short"),20*V478,"")</f>
        <v/>
      </c>
    </row>
    <row r="479">
      <c r="Q479">
        <f>LEFT(I479,9)</f>
        <v/>
      </c>
      <c r="R479">
        <f>TRIM(B479)</f>
        <v/>
      </c>
      <c r="S479">
        <f>COUNTIF($X$1:$X$9,R479) &gt; 0</f>
        <v/>
      </c>
      <c r="T479">
        <f>IF(AND(S479=FALSE,LEN(R479)&gt;2),4,IF(S479=TRUE,INDEX($Y$1:$Y$9,MATCH(R479,$X$1:$X$9,0)),""))</f>
        <v/>
      </c>
      <c r="U479">
        <f>IF(R479&lt;&gt;"",IF(Q484="",0,MATCH(TRUE,INDEX(Q484:$Q$1100="",0),0)-1),"")</f>
        <v/>
      </c>
      <c r="V479">
        <f>IF(AND(T479&lt;&gt;"",U479&lt;&gt;""),IF(U479-T479&lt;=0,"Falls Short",U479-T479),"")</f>
        <v/>
      </c>
      <c r="W479">
        <f>IF(AND(R479&lt;&gt;"",V479&lt;&gt;"Falls Short"),20*V479,"")</f>
        <v/>
      </c>
    </row>
    <row r="480">
      <c r="Q480">
        <f>LEFT(I480,9)</f>
        <v/>
      </c>
      <c r="R480">
        <f>TRIM(B480)</f>
        <v/>
      </c>
      <c r="S480">
        <f>COUNTIF($X$1:$X$9,R480) &gt; 0</f>
        <v/>
      </c>
      <c r="T480">
        <f>IF(AND(S480=FALSE,LEN(R480)&gt;2),4,IF(S480=TRUE,INDEX($Y$1:$Y$9,MATCH(R480,$X$1:$X$9,0)),""))</f>
        <v/>
      </c>
      <c r="U480">
        <f>IF(R480&lt;&gt;"",IF(Q485="",0,MATCH(TRUE,INDEX(Q485:$Q$1100="",0),0)-1),"")</f>
        <v/>
      </c>
      <c r="V480">
        <f>IF(AND(T480&lt;&gt;"",U480&lt;&gt;""),IF(U480-T480&lt;=0,"Falls Short",U480-T480),"")</f>
        <v/>
      </c>
      <c r="W480">
        <f>IF(AND(R480&lt;&gt;"",V480&lt;&gt;"Falls Short"),20*V480,"")</f>
        <v/>
      </c>
    </row>
    <row r="481">
      <c r="Q481">
        <f>LEFT(I481,9)</f>
        <v/>
      </c>
      <c r="R481">
        <f>TRIM(B481)</f>
        <v/>
      </c>
      <c r="S481">
        <f>COUNTIF($X$1:$X$9,R481) &gt; 0</f>
        <v/>
      </c>
      <c r="T481">
        <f>IF(AND(S481=FALSE,LEN(R481)&gt;2),4,IF(S481=TRUE,INDEX($Y$1:$Y$9,MATCH(R481,$X$1:$X$9,0)),""))</f>
        <v/>
      </c>
      <c r="U481">
        <f>IF(R481&lt;&gt;"",IF(Q486="",0,MATCH(TRUE,INDEX(Q486:$Q$1100="",0),0)-1),"")</f>
        <v/>
      </c>
      <c r="V481">
        <f>IF(AND(T481&lt;&gt;"",U481&lt;&gt;""),IF(U481-T481&lt;=0,"Falls Short",U481-T481),"")</f>
        <v/>
      </c>
      <c r="W481">
        <f>IF(AND(R481&lt;&gt;"",V481&lt;&gt;"Falls Short"),20*V481,"")</f>
        <v/>
      </c>
    </row>
    <row r="482">
      <c r="Q482">
        <f>LEFT(I482,9)</f>
        <v/>
      </c>
      <c r="R482">
        <f>TRIM(B482)</f>
        <v/>
      </c>
      <c r="S482">
        <f>COUNTIF($X$1:$X$9,R482) &gt; 0</f>
        <v/>
      </c>
      <c r="T482">
        <f>IF(AND(S482=FALSE,LEN(R482)&gt;2),4,IF(S482=TRUE,INDEX($Y$1:$Y$9,MATCH(R482,$X$1:$X$9,0)),""))</f>
        <v/>
      </c>
      <c r="U482">
        <f>IF(R482&lt;&gt;"",IF(Q487="",0,MATCH(TRUE,INDEX(Q487:$Q$1100="",0),0)-1),"")</f>
        <v/>
      </c>
      <c r="V482">
        <f>IF(AND(T482&lt;&gt;"",U482&lt;&gt;""),IF(U482-T482&lt;=0,"Falls Short",U482-T482),"")</f>
        <v/>
      </c>
      <c r="W482">
        <f>IF(AND(R482&lt;&gt;"",V482&lt;&gt;"Falls Short"),20*V482,"")</f>
        <v/>
      </c>
    </row>
    <row r="483">
      <c r="Q483">
        <f>LEFT(I483,9)</f>
        <v/>
      </c>
      <c r="R483">
        <f>TRIM(B483)</f>
        <v/>
      </c>
      <c r="S483">
        <f>COUNTIF($X$1:$X$9,R483) &gt; 0</f>
        <v/>
      </c>
      <c r="T483">
        <f>IF(AND(S483=FALSE,LEN(R483)&gt;2),4,IF(S483=TRUE,INDEX($Y$1:$Y$9,MATCH(R483,$X$1:$X$9,0)),""))</f>
        <v/>
      </c>
      <c r="U483">
        <f>IF(R483&lt;&gt;"",IF(Q488="",0,MATCH(TRUE,INDEX(Q488:$Q$1100="",0),0)-1),"")</f>
        <v/>
      </c>
      <c r="V483">
        <f>IF(AND(T483&lt;&gt;"",U483&lt;&gt;""),IF(U483-T483&lt;=0,"Falls Short",U483-T483),"")</f>
        <v/>
      </c>
      <c r="W483">
        <f>IF(AND(R483&lt;&gt;"",V483&lt;&gt;"Falls Short"),20*V483,"")</f>
        <v/>
      </c>
    </row>
    <row r="484">
      <c r="Q484">
        <f>LEFT(I484,9)</f>
        <v/>
      </c>
      <c r="R484">
        <f>TRIM(B484)</f>
        <v/>
      </c>
      <c r="S484">
        <f>COUNTIF($X$1:$X$9,R484) &gt; 0</f>
        <v/>
      </c>
      <c r="T484">
        <f>IF(AND(S484=FALSE,LEN(R484)&gt;2),4,IF(S484=TRUE,INDEX($Y$1:$Y$9,MATCH(R484,$X$1:$X$9,0)),""))</f>
        <v/>
      </c>
      <c r="U484">
        <f>IF(R484&lt;&gt;"",IF(Q489="",0,MATCH(TRUE,INDEX(Q489:$Q$1100="",0),0)-1),"")</f>
        <v/>
      </c>
      <c r="V484">
        <f>IF(AND(T484&lt;&gt;"",U484&lt;&gt;""),IF(U484-T484&lt;=0,"Falls Short",U484-T484),"")</f>
        <v/>
      </c>
      <c r="W484">
        <f>IF(AND(R484&lt;&gt;"",V484&lt;&gt;"Falls Short"),20*V484,"")</f>
        <v/>
      </c>
    </row>
    <row r="485">
      <c r="Q485">
        <f>LEFT(I485,9)</f>
        <v/>
      </c>
      <c r="R485">
        <f>TRIM(B485)</f>
        <v/>
      </c>
      <c r="S485">
        <f>COUNTIF($X$1:$X$9,R485) &gt; 0</f>
        <v/>
      </c>
      <c r="T485">
        <f>IF(AND(S485=FALSE,LEN(R485)&gt;2),4,IF(S485=TRUE,INDEX($Y$1:$Y$9,MATCH(R485,$X$1:$X$9,0)),""))</f>
        <v/>
      </c>
      <c r="U485">
        <f>IF(R485&lt;&gt;"",IF(Q490="",0,MATCH(TRUE,INDEX(Q490:$Q$1100="",0),0)-1),"")</f>
        <v/>
      </c>
      <c r="V485">
        <f>IF(AND(T485&lt;&gt;"",U485&lt;&gt;""),IF(U485-T485&lt;=0,"Falls Short",U485-T485),"")</f>
        <v/>
      </c>
      <c r="W485">
        <f>IF(AND(R485&lt;&gt;"",V485&lt;&gt;"Falls Short"),20*V485,"")</f>
        <v/>
      </c>
    </row>
    <row r="486">
      <c r="Q486">
        <f>LEFT(I486,9)</f>
        <v/>
      </c>
      <c r="R486">
        <f>TRIM(B486)</f>
        <v/>
      </c>
      <c r="S486">
        <f>COUNTIF($X$1:$X$9,R486) &gt; 0</f>
        <v/>
      </c>
      <c r="T486">
        <f>IF(AND(S486=FALSE,LEN(R486)&gt;2),4,IF(S486=TRUE,INDEX($Y$1:$Y$9,MATCH(R486,$X$1:$X$9,0)),""))</f>
        <v/>
      </c>
      <c r="U486">
        <f>IF(R486&lt;&gt;"",IF(Q491="",0,MATCH(TRUE,INDEX(Q491:$Q$1100="",0),0)-1),"")</f>
        <v/>
      </c>
      <c r="V486">
        <f>IF(AND(T486&lt;&gt;"",U486&lt;&gt;""),IF(U486-T486&lt;=0,"Falls Short",U486-T486),"")</f>
        <v/>
      </c>
      <c r="W486">
        <f>IF(AND(R486&lt;&gt;"",V486&lt;&gt;"Falls Short"),20*V486,"")</f>
        <v/>
      </c>
    </row>
    <row r="487">
      <c r="Q487">
        <f>LEFT(I487,9)</f>
        <v/>
      </c>
      <c r="R487">
        <f>TRIM(B487)</f>
        <v/>
      </c>
      <c r="S487">
        <f>COUNTIF($X$1:$X$9,R487) &gt; 0</f>
        <v/>
      </c>
      <c r="T487">
        <f>IF(AND(S487=FALSE,LEN(R487)&gt;2),4,IF(S487=TRUE,INDEX($Y$1:$Y$9,MATCH(R487,$X$1:$X$9,0)),""))</f>
        <v/>
      </c>
      <c r="U487">
        <f>IF(R487&lt;&gt;"",IF(Q492="",0,MATCH(TRUE,INDEX(Q492:$Q$1100="",0),0)-1),"")</f>
        <v/>
      </c>
      <c r="V487">
        <f>IF(AND(T487&lt;&gt;"",U487&lt;&gt;""),IF(U487-T487&lt;=0,"Falls Short",U487-T487),"")</f>
        <v/>
      </c>
      <c r="W487">
        <f>IF(AND(R487&lt;&gt;"",V487&lt;&gt;"Falls Short"),20*V487,"")</f>
        <v/>
      </c>
    </row>
    <row r="488">
      <c r="Q488">
        <f>LEFT(I488,9)</f>
        <v/>
      </c>
      <c r="R488">
        <f>TRIM(B488)</f>
        <v/>
      </c>
      <c r="S488">
        <f>COUNTIF($X$1:$X$9,R488) &gt; 0</f>
        <v/>
      </c>
      <c r="T488">
        <f>IF(AND(S488=FALSE,LEN(R488)&gt;2),4,IF(S488=TRUE,INDEX($Y$1:$Y$9,MATCH(R488,$X$1:$X$9,0)),""))</f>
        <v/>
      </c>
      <c r="U488">
        <f>IF(R488&lt;&gt;"",IF(Q493="",0,MATCH(TRUE,INDEX(Q493:$Q$1100="",0),0)-1),"")</f>
        <v/>
      </c>
      <c r="V488">
        <f>IF(AND(T488&lt;&gt;"",U488&lt;&gt;""),IF(U488-T488&lt;=0,"Falls Short",U488-T488),"")</f>
        <v/>
      </c>
      <c r="W488">
        <f>IF(AND(R488&lt;&gt;"",V488&lt;&gt;"Falls Short"),20*V488,"")</f>
        <v/>
      </c>
    </row>
    <row r="489">
      <c r="Q489">
        <f>LEFT(I489,9)</f>
        <v/>
      </c>
      <c r="R489">
        <f>TRIM(B489)</f>
        <v/>
      </c>
      <c r="S489">
        <f>COUNTIF($X$1:$X$9,R489) &gt; 0</f>
        <v/>
      </c>
      <c r="T489">
        <f>IF(AND(S489=FALSE,LEN(R489)&gt;2),4,IF(S489=TRUE,INDEX($Y$1:$Y$9,MATCH(R489,$X$1:$X$9,0)),""))</f>
        <v/>
      </c>
      <c r="U489">
        <f>IF(R489&lt;&gt;"",IF(Q494="",0,MATCH(TRUE,INDEX(Q494:$Q$1100="",0),0)-1),"")</f>
        <v/>
      </c>
      <c r="V489">
        <f>IF(AND(T489&lt;&gt;"",U489&lt;&gt;""),IF(U489-T489&lt;=0,"Falls Short",U489-T489),"")</f>
        <v/>
      </c>
      <c r="W489">
        <f>IF(AND(R489&lt;&gt;"",V489&lt;&gt;"Falls Short"),20*V489,"")</f>
        <v/>
      </c>
    </row>
    <row r="490">
      <c r="Q490">
        <f>LEFT(I490,9)</f>
        <v/>
      </c>
      <c r="R490">
        <f>TRIM(B490)</f>
        <v/>
      </c>
      <c r="S490">
        <f>COUNTIF($X$1:$X$9,R490) &gt; 0</f>
        <v/>
      </c>
      <c r="T490">
        <f>IF(AND(S490=FALSE,LEN(R490)&gt;2),4,IF(S490=TRUE,INDEX($Y$1:$Y$9,MATCH(R490,$X$1:$X$9,0)),""))</f>
        <v/>
      </c>
      <c r="U490">
        <f>IF(R490&lt;&gt;"",IF(Q495="",0,MATCH(TRUE,INDEX(Q495:$Q$1100="",0),0)-1),"")</f>
        <v/>
      </c>
      <c r="V490">
        <f>IF(AND(T490&lt;&gt;"",U490&lt;&gt;""),IF(U490-T490&lt;=0,"Falls Short",U490-T490),"")</f>
        <v/>
      </c>
      <c r="W490">
        <f>IF(AND(R490&lt;&gt;"",V490&lt;&gt;"Falls Short"),20*V490,"")</f>
        <v/>
      </c>
    </row>
    <row r="491">
      <c r="Q491">
        <f>LEFT(I491,9)</f>
        <v/>
      </c>
      <c r="R491">
        <f>TRIM(B491)</f>
        <v/>
      </c>
      <c r="S491">
        <f>COUNTIF($X$1:$X$9,R491) &gt; 0</f>
        <v/>
      </c>
      <c r="T491">
        <f>IF(AND(S491=FALSE,LEN(R491)&gt;2),4,IF(S491=TRUE,INDEX($Y$1:$Y$9,MATCH(R491,$X$1:$X$9,0)),""))</f>
        <v/>
      </c>
      <c r="U491">
        <f>IF(R491&lt;&gt;"",IF(Q496="",0,MATCH(TRUE,INDEX(Q496:$Q$1100="",0),0)-1),"")</f>
        <v/>
      </c>
      <c r="V491">
        <f>IF(AND(T491&lt;&gt;"",U491&lt;&gt;""),IF(U491-T491&lt;=0,"Falls Short",U491-T491),"")</f>
        <v/>
      </c>
      <c r="W491">
        <f>IF(AND(R491&lt;&gt;"",V491&lt;&gt;"Falls Short"),20*V491,"")</f>
        <v/>
      </c>
    </row>
    <row r="492">
      <c r="Q492">
        <f>LEFT(I492,9)</f>
        <v/>
      </c>
      <c r="R492">
        <f>TRIM(B492)</f>
        <v/>
      </c>
      <c r="S492">
        <f>COUNTIF($X$1:$X$9,R492) &gt; 0</f>
        <v/>
      </c>
      <c r="T492">
        <f>IF(AND(S492=FALSE,LEN(R492)&gt;2),4,IF(S492=TRUE,INDEX($Y$1:$Y$9,MATCH(R492,$X$1:$X$9,0)),""))</f>
        <v/>
      </c>
      <c r="U492">
        <f>IF(R492&lt;&gt;"",IF(Q497="",0,MATCH(TRUE,INDEX(Q497:$Q$1100="",0),0)-1),"")</f>
        <v/>
      </c>
      <c r="V492">
        <f>IF(AND(T492&lt;&gt;"",U492&lt;&gt;""),IF(U492-T492&lt;=0,"Falls Short",U492-T492),"")</f>
        <v/>
      </c>
      <c r="W492">
        <f>IF(AND(R492&lt;&gt;"",V492&lt;&gt;"Falls Short"),20*V492,"")</f>
        <v/>
      </c>
    </row>
    <row r="493">
      <c r="Q493">
        <f>LEFT(I493,9)</f>
        <v/>
      </c>
      <c r="R493">
        <f>TRIM(B493)</f>
        <v/>
      </c>
      <c r="S493">
        <f>COUNTIF($X$1:$X$9,R493) &gt; 0</f>
        <v/>
      </c>
      <c r="T493">
        <f>IF(AND(S493=FALSE,LEN(R493)&gt;2),4,IF(S493=TRUE,INDEX($Y$1:$Y$9,MATCH(R493,$X$1:$X$9,0)),""))</f>
        <v/>
      </c>
      <c r="U493">
        <f>IF(R493&lt;&gt;"",IF(Q498="",0,MATCH(TRUE,INDEX(Q498:$Q$1100="",0),0)-1),"")</f>
        <v/>
      </c>
      <c r="V493">
        <f>IF(AND(T493&lt;&gt;"",U493&lt;&gt;""),IF(U493-T493&lt;=0,"Falls Short",U493-T493),"")</f>
        <v/>
      </c>
      <c r="W493">
        <f>IF(AND(R493&lt;&gt;"",V493&lt;&gt;"Falls Short"),20*V493,"")</f>
        <v/>
      </c>
    </row>
    <row r="494">
      <c r="Q494">
        <f>LEFT(I494,9)</f>
        <v/>
      </c>
      <c r="R494">
        <f>TRIM(B494)</f>
        <v/>
      </c>
      <c r="S494">
        <f>COUNTIF($X$1:$X$9,R494) &gt; 0</f>
        <v/>
      </c>
      <c r="T494">
        <f>IF(AND(S494=FALSE,LEN(R494)&gt;2),4,IF(S494=TRUE,INDEX($Y$1:$Y$9,MATCH(R494,$X$1:$X$9,0)),""))</f>
        <v/>
      </c>
      <c r="U494">
        <f>IF(R494&lt;&gt;"",IF(Q499="",0,MATCH(TRUE,INDEX(Q499:$Q$1100="",0),0)-1),"")</f>
        <v/>
      </c>
      <c r="V494">
        <f>IF(AND(T494&lt;&gt;"",U494&lt;&gt;""),IF(U494-T494&lt;=0,"Falls Short",U494-T494),"")</f>
        <v/>
      </c>
      <c r="W494">
        <f>IF(AND(R494&lt;&gt;"",V494&lt;&gt;"Falls Short"),20*V494,"")</f>
        <v/>
      </c>
    </row>
    <row r="495">
      <c r="Q495">
        <f>LEFT(I495,9)</f>
        <v/>
      </c>
      <c r="R495">
        <f>TRIM(B495)</f>
        <v/>
      </c>
      <c r="S495">
        <f>COUNTIF($X$1:$X$9,R495) &gt; 0</f>
        <v/>
      </c>
      <c r="T495">
        <f>IF(AND(S495=FALSE,LEN(R495)&gt;2),4,IF(S495=TRUE,INDEX($Y$1:$Y$9,MATCH(R495,$X$1:$X$9,0)),""))</f>
        <v/>
      </c>
      <c r="U495">
        <f>IF(R495&lt;&gt;"",IF(Q500="",0,MATCH(TRUE,INDEX(Q500:$Q$1100="",0),0)-1),"")</f>
        <v/>
      </c>
      <c r="V495">
        <f>IF(AND(T495&lt;&gt;"",U495&lt;&gt;""),IF(U495-T495&lt;=0,"Falls Short",U495-T495),"")</f>
        <v/>
      </c>
      <c r="W495">
        <f>IF(AND(R495&lt;&gt;"",V495&lt;&gt;"Falls Short"),20*V495,"")</f>
        <v/>
      </c>
    </row>
    <row r="496">
      <c r="Q496">
        <f>LEFT(I496,9)</f>
        <v/>
      </c>
      <c r="R496">
        <f>TRIM(B496)</f>
        <v/>
      </c>
      <c r="S496">
        <f>COUNTIF($X$1:$X$9,R496) &gt; 0</f>
        <v/>
      </c>
      <c r="T496">
        <f>IF(AND(S496=FALSE,LEN(R496)&gt;2),4,IF(S496=TRUE,INDEX($Y$1:$Y$9,MATCH(R496,$X$1:$X$9,0)),""))</f>
        <v/>
      </c>
      <c r="U496">
        <f>IF(R496&lt;&gt;"",IF(Q501="",0,MATCH(TRUE,INDEX(Q501:$Q$1100="",0),0)-1),"")</f>
        <v/>
      </c>
      <c r="V496">
        <f>IF(AND(T496&lt;&gt;"",U496&lt;&gt;""),IF(U496-T496&lt;=0,"Falls Short",U496-T496),"")</f>
        <v/>
      </c>
      <c r="W496">
        <f>IF(AND(R496&lt;&gt;"",V496&lt;&gt;"Falls Short"),20*V496,"")</f>
        <v/>
      </c>
    </row>
    <row r="497">
      <c r="Q497">
        <f>LEFT(I497,9)</f>
        <v/>
      </c>
      <c r="R497">
        <f>TRIM(B497)</f>
        <v/>
      </c>
      <c r="S497">
        <f>COUNTIF($X$1:$X$9,R497) &gt; 0</f>
        <v/>
      </c>
      <c r="T497">
        <f>IF(AND(S497=FALSE,LEN(R497)&gt;2),4,IF(S497=TRUE,INDEX($Y$1:$Y$9,MATCH(R497,$X$1:$X$9,0)),""))</f>
        <v/>
      </c>
      <c r="U497">
        <f>IF(R497&lt;&gt;"",IF(Q502="",0,MATCH(TRUE,INDEX(Q502:$Q$1100="",0),0)-1),"")</f>
        <v/>
      </c>
      <c r="V497">
        <f>IF(AND(T497&lt;&gt;"",U497&lt;&gt;""),IF(U497-T497&lt;=0,"Falls Short",U497-T497),"")</f>
        <v/>
      </c>
      <c r="W497">
        <f>IF(AND(R497&lt;&gt;"",V497&lt;&gt;"Falls Short"),20*V497,"")</f>
        <v/>
      </c>
    </row>
    <row r="498">
      <c r="Q498">
        <f>LEFT(I498,9)</f>
        <v/>
      </c>
      <c r="R498">
        <f>TRIM(B498)</f>
        <v/>
      </c>
      <c r="S498">
        <f>COUNTIF($X$1:$X$9,R498) &gt; 0</f>
        <v/>
      </c>
      <c r="T498">
        <f>IF(AND(S498=FALSE,LEN(R498)&gt;2),4,IF(S498=TRUE,INDEX($Y$1:$Y$9,MATCH(R498,$X$1:$X$9,0)),""))</f>
        <v/>
      </c>
      <c r="U498">
        <f>IF(R498&lt;&gt;"",IF(Q503="",0,MATCH(TRUE,INDEX(Q503:$Q$1100="",0),0)-1),"")</f>
        <v/>
      </c>
      <c r="V498">
        <f>IF(AND(T498&lt;&gt;"",U498&lt;&gt;""),IF(U498-T498&lt;=0,"Falls Short",U498-T498),"")</f>
        <v/>
      </c>
      <c r="W498">
        <f>IF(AND(R498&lt;&gt;"",V498&lt;&gt;"Falls Short"),20*V498,"")</f>
        <v/>
      </c>
    </row>
    <row r="499">
      <c r="Q499">
        <f>LEFT(I499,9)</f>
        <v/>
      </c>
      <c r="R499">
        <f>TRIM(B499)</f>
        <v/>
      </c>
      <c r="S499">
        <f>COUNTIF($X$1:$X$9,R499) &gt; 0</f>
        <v/>
      </c>
      <c r="T499">
        <f>IF(AND(S499=FALSE,LEN(R499)&gt;2),4,IF(S499=TRUE,INDEX($Y$1:$Y$9,MATCH(R499,$X$1:$X$9,0)),""))</f>
        <v/>
      </c>
      <c r="U499">
        <f>IF(R499&lt;&gt;"",IF(Q504="",0,MATCH(TRUE,INDEX(Q504:$Q$1100="",0),0)-1),"")</f>
        <v/>
      </c>
      <c r="V499">
        <f>IF(AND(T499&lt;&gt;"",U499&lt;&gt;""),IF(U499-T499&lt;=0,"Falls Short",U499-T499),"")</f>
        <v/>
      </c>
      <c r="W499">
        <f>IF(AND(R499&lt;&gt;"",V499&lt;&gt;"Falls Short"),20*V499,"")</f>
        <v/>
      </c>
    </row>
    <row r="500">
      <c r="Q500">
        <f>LEFT(I500,9)</f>
        <v/>
      </c>
      <c r="R500">
        <f>TRIM(B500)</f>
        <v/>
      </c>
      <c r="S500">
        <f>COUNTIF($X$1:$X$9,R500) &gt; 0</f>
        <v/>
      </c>
      <c r="T500">
        <f>IF(AND(S500=FALSE,LEN(R500)&gt;2),4,IF(S500=TRUE,INDEX($Y$1:$Y$9,MATCH(R500,$X$1:$X$9,0)),""))</f>
        <v/>
      </c>
      <c r="U500">
        <f>IF(R500&lt;&gt;"",IF(Q505="",0,MATCH(TRUE,INDEX(Q505:$Q$1100="",0),0)-1),"")</f>
        <v/>
      </c>
      <c r="V500">
        <f>IF(AND(T500&lt;&gt;"",U500&lt;&gt;""),IF(U500-T500&lt;=0,"Falls Short",U500-T500),"")</f>
        <v/>
      </c>
      <c r="W500">
        <f>IF(AND(R500&lt;&gt;"",V500&lt;&gt;"Falls Short"),20*V500,"")</f>
        <v/>
      </c>
    </row>
    <row r="501">
      <c r="Q501">
        <f>LEFT(I501,9)</f>
        <v/>
      </c>
      <c r="R501">
        <f>TRIM(B501)</f>
        <v/>
      </c>
      <c r="S501">
        <f>COUNTIF($X$1:$X$9,R501) &gt; 0</f>
        <v/>
      </c>
      <c r="T501">
        <f>IF(AND(S501=FALSE,LEN(R501)&gt;2),4,IF(S501=TRUE,INDEX($Y$1:$Y$9,MATCH(R501,$X$1:$X$9,0)),""))</f>
        <v/>
      </c>
      <c r="U501">
        <f>IF(R501&lt;&gt;"",IF(Q506="",0,MATCH(TRUE,INDEX(Q506:$Q$1100="",0),0)-1),"")</f>
        <v/>
      </c>
      <c r="V501">
        <f>IF(AND(T501&lt;&gt;"",U501&lt;&gt;""),IF(U501-T501&lt;=0,"Falls Short",U501-T501),"")</f>
        <v/>
      </c>
      <c r="W501">
        <f>IF(AND(R501&lt;&gt;"",V501&lt;&gt;"Falls Short"),20*V501,"")</f>
        <v/>
      </c>
    </row>
    <row r="502">
      <c r="Q502">
        <f>LEFT(I502,9)</f>
        <v/>
      </c>
      <c r="R502">
        <f>TRIM(B502)</f>
        <v/>
      </c>
      <c r="S502">
        <f>COUNTIF($X$1:$X$9,R502) &gt; 0</f>
        <v/>
      </c>
      <c r="T502">
        <f>IF(AND(S502=FALSE,LEN(R502)&gt;2),4,IF(S502=TRUE,INDEX($Y$1:$Y$9,MATCH(R502,$X$1:$X$9,0)),""))</f>
        <v/>
      </c>
      <c r="U502">
        <f>IF(R502&lt;&gt;"",IF(Q507="",0,MATCH(TRUE,INDEX(Q507:$Q$1100="",0),0)-1),"")</f>
        <v/>
      </c>
      <c r="V502">
        <f>IF(AND(T502&lt;&gt;"",U502&lt;&gt;""),IF(U502-T502&lt;=0,"Falls Short",U502-T502),"")</f>
        <v/>
      </c>
      <c r="W502">
        <f>IF(AND(R502&lt;&gt;"",V502&lt;&gt;"Falls Short"),20*V502,"")</f>
        <v/>
      </c>
    </row>
    <row r="503">
      <c r="Q503">
        <f>LEFT(I503,9)</f>
        <v/>
      </c>
      <c r="R503">
        <f>TRIM(B503)</f>
        <v/>
      </c>
      <c r="S503">
        <f>COUNTIF($X$1:$X$9,R503) &gt; 0</f>
        <v/>
      </c>
      <c r="T503">
        <f>IF(AND(S503=FALSE,LEN(R503)&gt;2),4,IF(S503=TRUE,INDEX($Y$1:$Y$9,MATCH(R503,$X$1:$X$9,0)),""))</f>
        <v/>
      </c>
      <c r="U503">
        <f>IF(R503&lt;&gt;"",IF(Q508="",0,MATCH(TRUE,INDEX(Q508:$Q$1100="",0),0)-1),"")</f>
        <v/>
      </c>
      <c r="V503">
        <f>IF(AND(T503&lt;&gt;"",U503&lt;&gt;""),IF(U503-T503&lt;=0,"Falls Short",U503-T503),"")</f>
        <v/>
      </c>
      <c r="W503">
        <f>IF(AND(R503&lt;&gt;"",V503&lt;&gt;"Falls Short"),20*V503,"")</f>
        <v/>
      </c>
    </row>
    <row r="504">
      <c r="Q504">
        <f>LEFT(I504,9)</f>
        <v/>
      </c>
      <c r="R504">
        <f>TRIM(B504)</f>
        <v/>
      </c>
      <c r="S504">
        <f>COUNTIF($X$1:$X$9,R504) &gt; 0</f>
        <v/>
      </c>
      <c r="T504">
        <f>IF(AND(S504=FALSE,LEN(R504)&gt;2),4,IF(S504=TRUE,INDEX($Y$1:$Y$9,MATCH(R504,$X$1:$X$9,0)),""))</f>
        <v/>
      </c>
      <c r="U504">
        <f>IF(R504&lt;&gt;"",IF(Q509="",0,MATCH(TRUE,INDEX(Q509:$Q$1100="",0),0)-1),"")</f>
        <v/>
      </c>
      <c r="V504">
        <f>IF(AND(T504&lt;&gt;"",U504&lt;&gt;""),IF(U504-T504&lt;=0,"Falls Short",U504-T504),"")</f>
        <v/>
      </c>
      <c r="W504">
        <f>IF(AND(R504&lt;&gt;"",V504&lt;&gt;"Falls Short"),20*V504,"")</f>
        <v/>
      </c>
    </row>
    <row r="505">
      <c r="Q505">
        <f>LEFT(I505,9)</f>
        <v/>
      </c>
      <c r="R505">
        <f>TRIM(B505)</f>
        <v/>
      </c>
      <c r="S505">
        <f>COUNTIF($X$1:$X$9,R505) &gt; 0</f>
        <v/>
      </c>
      <c r="T505">
        <f>IF(AND(S505=FALSE,LEN(R505)&gt;2),4,IF(S505=TRUE,INDEX($Y$1:$Y$9,MATCH(R505,$X$1:$X$9,0)),""))</f>
        <v/>
      </c>
      <c r="U505">
        <f>IF(R505&lt;&gt;"",IF(Q510="",0,MATCH(TRUE,INDEX(Q510:$Q$1100="",0),0)-1),"")</f>
        <v/>
      </c>
      <c r="V505">
        <f>IF(AND(T505&lt;&gt;"",U505&lt;&gt;""),IF(U505-T505&lt;=0,"Falls Short",U505-T505),"")</f>
        <v/>
      </c>
      <c r="W505">
        <f>IF(AND(R505&lt;&gt;"",V505&lt;&gt;"Falls Short"),20*V505,"")</f>
        <v/>
      </c>
    </row>
    <row r="506">
      <c r="Q506">
        <f>LEFT(I506,9)</f>
        <v/>
      </c>
      <c r="R506">
        <f>TRIM(B506)</f>
        <v/>
      </c>
      <c r="S506">
        <f>COUNTIF($X$1:$X$9,R506) &gt; 0</f>
        <v/>
      </c>
      <c r="T506">
        <f>IF(AND(S506=FALSE,LEN(R506)&gt;2),4,IF(S506=TRUE,INDEX($Y$1:$Y$9,MATCH(R506,$X$1:$X$9,0)),""))</f>
        <v/>
      </c>
      <c r="U506">
        <f>IF(R506&lt;&gt;"",IF(Q511="",0,MATCH(TRUE,INDEX(Q511:$Q$1100="",0),0)-1),"")</f>
        <v/>
      </c>
      <c r="V506">
        <f>IF(AND(T506&lt;&gt;"",U506&lt;&gt;""),IF(U506-T506&lt;=0,"Falls Short",U506-T506),"")</f>
        <v/>
      </c>
      <c r="W506">
        <f>IF(AND(R506&lt;&gt;"",V506&lt;&gt;"Falls Short"),20*V506,"")</f>
        <v/>
      </c>
    </row>
    <row r="507">
      <c r="Q507">
        <f>LEFT(I507,9)</f>
        <v/>
      </c>
      <c r="R507">
        <f>TRIM(B507)</f>
        <v/>
      </c>
      <c r="S507">
        <f>COUNTIF($X$1:$X$9,R507) &gt; 0</f>
        <v/>
      </c>
      <c r="T507">
        <f>IF(AND(S507=FALSE,LEN(R507)&gt;2),4,IF(S507=TRUE,INDEX($Y$1:$Y$9,MATCH(R507,$X$1:$X$9,0)),""))</f>
        <v/>
      </c>
      <c r="U507">
        <f>IF(R507&lt;&gt;"",IF(Q512="",0,MATCH(TRUE,INDEX(Q512:$Q$1100="",0),0)-1),"")</f>
        <v/>
      </c>
      <c r="V507">
        <f>IF(AND(T507&lt;&gt;"",U507&lt;&gt;""),IF(U507-T507&lt;=0,"Falls Short",U507-T507),"")</f>
        <v/>
      </c>
      <c r="W507">
        <f>IF(AND(R507&lt;&gt;"",V507&lt;&gt;"Falls Short"),20*V507,"")</f>
        <v/>
      </c>
    </row>
    <row r="508">
      <c r="Q508">
        <f>LEFT(I508,9)</f>
        <v/>
      </c>
      <c r="R508">
        <f>TRIM(B508)</f>
        <v/>
      </c>
      <c r="S508">
        <f>COUNTIF($X$1:$X$9,R508) &gt; 0</f>
        <v/>
      </c>
      <c r="T508">
        <f>IF(AND(S508=FALSE,LEN(R508)&gt;2),4,IF(S508=TRUE,INDEX($Y$1:$Y$9,MATCH(R508,$X$1:$X$9,0)),""))</f>
        <v/>
      </c>
      <c r="U508">
        <f>IF(R508&lt;&gt;"",IF(Q513="",0,MATCH(TRUE,INDEX(Q513:$Q$1100="",0),0)-1),"")</f>
        <v/>
      </c>
      <c r="V508">
        <f>IF(AND(T508&lt;&gt;"",U508&lt;&gt;""),IF(U508-T508&lt;=0,"Falls Short",U508-T508),"")</f>
        <v/>
      </c>
      <c r="W508">
        <f>IF(AND(R508&lt;&gt;"",V508&lt;&gt;"Falls Short"),20*V508,"")</f>
        <v/>
      </c>
    </row>
    <row r="509">
      <c r="Q509">
        <f>LEFT(I509,9)</f>
        <v/>
      </c>
      <c r="R509">
        <f>TRIM(B509)</f>
        <v/>
      </c>
      <c r="S509">
        <f>COUNTIF($X$1:$X$9,R509) &gt; 0</f>
        <v/>
      </c>
      <c r="T509">
        <f>IF(AND(S509=FALSE,LEN(R509)&gt;2),4,IF(S509=TRUE,INDEX($Y$1:$Y$9,MATCH(R509,$X$1:$X$9,0)),""))</f>
        <v/>
      </c>
      <c r="U509">
        <f>IF(R509&lt;&gt;"",IF(Q514="",0,MATCH(TRUE,INDEX(Q514:$Q$1100="",0),0)-1),"")</f>
        <v/>
      </c>
      <c r="V509">
        <f>IF(AND(T509&lt;&gt;"",U509&lt;&gt;""),IF(U509-T509&lt;=0,"Falls Short",U509-T509),"")</f>
        <v/>
      </c>
      <c r="W509">
        <f>IF(AND(R509&lt;&gt;"",V509&lt;&gt;"Falls Short"),20*V509,"")</f>
        <v/>
      </c>
    </row>
    <row r="510">
      <c r="Q510">
        <f>LEFT(I510,9)</f>
        <v/>
      </c>
      <c r="R510">
        <f>TRIM(B510)</f>
        <v/>
      </c>
      <c r="S510">
        <f>COUNTIF($X$1:$X$9,R510) &gt; 0</f>
        <v/>
      </c>
      <c r="T510">
        <f>IF(AND(S510=FALSE,LEN(R510)&gt;2),4,IF(S510=TRUE,INDEX($Y$1:$Y$9,MATCH(R510,$X$1:$X$9,0)),""))</f>
        <v/>
      </c>
      <c r="U510">
        <f>IF(R510&lt;&gt;"",IF(Q515="",0,MATCH(TRUE,INDEX(Q515:$Q$1100="",0),0)-1),"")</f>
        <v/>
      </c>
      <c r="V510">
        <f>IF(AND(T510&lt;&gt;"",U510&lt;&gt;""),IF(U510-T510&lt;=0,"Falls Short",U510-T510),"")</f>
        <v/>
      </c>
      <c r="W510">
        <f>IF(AND(R510&lt;&gt;"",V510&lt;&gt;"Falls Short"),20*V510,"")</f>
        <v/>
      </c>
    </row>
    <row r="511">
      <c r="Q511">
        <f>LEFT(I511,9)</f>
        <v/>
      </c>
      <c r="R511">
        <f>TRIM(B511)</f>
        <v/>
      </c>
      <c r="S511">
        <f>COUNTIF($X$1:$X$9,R511) &gt; 0</f>
        <v/>
      </c>
      <c r="T511">
        <f>IF(AND(S511=FALSE,LEN(R511)&gt;2),4,IF(S511=TRUE,INDEX($Y$1:$Y$9,MATCH(R511,$X$1:$X$9,0)),""))</f>
        <v/>
      </c>
      <c r="U511">
        <f>IF(R511&lt;&gt;"",IF(Q516="",0,MATCH(TRUE,INDEX(Q516:$Q$1100="",0),0)-1),"")</f>
        <v/>
      </c>
      <c r="V511">
        <f>IF(AND(T511&lt;&gt;"",U511&lt;&gt;""),IF(U511-T511&lt;=0,"Falls Short",U511-T511),"")</f>
        <v/>
      </c>
      <c r="W511">
        <f>IF(AND(R511&lt;&gt;"",V511&lt;&gt;"Falls Short"),20*V511,"")</f>
        <v/>
      </c>
    </row>
    <row r="512">
      <c r="Q512">
        <f>LEFT(I512,9)</f>
        <v/>
      </c>
      <c r="R512">
        <f>TRIM(B512)</f>
        <v/>
      </c>
      <c r="S512">
        <f>COUNTIF($X$1:$X$9,R512) &gt; 0</f>
        <v/>
      </c>
      <c r="T512">
        <f>IF(AND(S512=FALSE,LEN(R512)&gt;2),4,IF(S512=TRUE,INDEX($Y$1:$Y$9,MATCH(R512,$X$1:$X$9,0)),""))</f>
        <v/>
      </c>
      <c r="U512">
        <f>IF(R512&lt;&gt;"",IF(Q517="",0,MATCH(TRUE,INDEX(Q517:$Q$1100="",0),0)-1),"")</f>
        <v/>
      </c>
      <c r="V512">
        <f>IF(AND(T512&lt;&gt;"",U512&lt;&gt;""),IF(U512-T512&lt;=0,"Falls Short",U512-T512),"")</f>
        <v/>
      </c>
      <c r="W512">
        <f>IF(AND(R512&lt;&gt;"",V512&lt;&gt;"Falls Short"),20*V512,"")</f>
        <v/>
      </c>
    </row>
    <row r="513">
      <c r="Q513">
        <f>LEFT(I513,9)</f>
        <v/>
      </c>
      <c r="R513">
        <f>TRIM(B513)</f>
        <v/>
      </c>
      <c r="S513">
        <f>COUNTIF($X$1:$X$9,R513) &gt; 0</f>
        <v/>
      </c>
      <c r="T513">
        <f>IF(AND(S513=FALSE,LEN(R513)&gt;2),4,IF(S513=TRUE,INDEX($Y$1:$Y$9,MATCH(R513,$X$1:$X$9,0)),""))</f>
        <v/>
      </c>
      <c r="U513">
        <f>IF(R513&lt;&gt;"",IF(Q518="",0,MATCH(TRUE,INDEX(Q518:$Q$1100="",0),0)-1),"")</f>
        <v/>
      </c>
      <c r="V513">
        <f>IF(AND(T513&lt;&gt;"",U513&lt;&gt;""),IF(U513-T513&lt;=0,"Falls Short",U513-T513),"")</f>
        <v/>
      </c>
      <c r="W513">
        <f>IF(AND(R513&lt;&gt;"",V513&lt;&gt;"Falls Short"),20*V513,"")</f>
        <v/>
      </c>
    </row>
    <row r="514">
      <c r="Q514">
        <f>LEFT(I514,9)</f>
        <v/>
      </c>
      <c r="R514">
        <f>TRIM(B514)</f>
        <v/>
      </c>
      <c r="S514">
        <f>COUNTIF($X$1:$X$9,R514) &gt; 0</f>
        <v/>
      </c>
      <c r="T514">
        <f>IF(AND(S514=FALSE,LEN(R514)&gt;2),4,IF(S514=TRUE,INDEX($Y$1:$Y$9,MATCH(R514,$X$1:$X$9,0)),""))</f>
        <v/>
      </c>
      <c r="U514">
        <f>IF(R514&lt;&gt;"",IF(Q519="",0,MATCH(TRUE,INDEX(Q519:$Q$1100="",0),0)-1),"")</f>
        <v/>
      </c>
      <c r="V514">
        <f>IF(AND(T514&lt;&gt;"",U514&lt;&gt;""),IF(U514-T514&lt;=0,"Falls Short",U514-T514),"")</f>
        <v/>
      </c>
      <c r="W514">
        <f>IF(AND(R514&lt;&gt;"",V514&lt;&gt;"Falls Short"),20*V514,"")</f>
        <v/>
      </c>
    </row>
    <row r="515">
      <c r="Q515">
        <f>LEFT(I515,9)</f>
        <v/>
      </c>
      <c r="R515">
        <f>TRIM(B515)</f>
        <v/>
      </c>
      <c r="S515">
        <f>COUNTIF($X$1:$X$9,R515) &gt; 0</f>
        <v/>
      </c>
      <c r="T515">
        <f>IF(AND(S515=FALSE,LEN(R515)&gt;2),4,IF(S515=TRUE,INDEX($Y$1:$Y$9,MATCH(R515,$X$1:$X$9,0)),""))</f>
        <v/>
      </c>
      <c r="U515">
        <f>IF(R515&lt;&gt;"",IF(Q520="",0,MATCH(TRUE,INDEX(Q520:$Q$1100="",0),0)-1),"")</f>
        <v/>
      </c>
      <c r="V515">
        <f>IF(AND(T515&lt;&gt;"",U515&lt;&gt;""),IF(U515-T515&lt;=0,"Falls Short",U515-T515),"")</f>
        <v/>
      </c>
      <c r="W515">
        <f>IF(AND(R515&lt;&gt;"",V515&lt;&gt;"Falls Short"),20*V515,"")</f>
        <v/>
      </c>
    </row>
    <row r="516">
      <c r="Q516">
        <f>LEFT(I516,9)</f>
        <v/>
      </c>
      <c r="R516">
        <f>TRIM(B516)</f>
        <v/>
      </c>
      <c r="S516">
        <f>COUNTIF($X$1:$X$9,R516) &gt; 0</f>
        <v/>
      </c>
      <c r="T516">
        <f>IF(AND(S516=FALSE,LEN(R516)&gt;2),4,IF(S516=TRUE,INDEX($Y$1:$Y$9,MATCH(R516,$X$1:$X$9,0)),""))</f>
        <v/>
      </c>
      <c r="U516">
        <f>IF(R516&lt;&gt;"",IF(Q521="",0,MATCH(TRUE,INDEX(Q521:$Q$1100="",0),0)-1),"")</f>
        <v/>
      </c>
      <c r="V516">
        <f>IF(AND(T516&lt;&gt;"",U516&lt;&gt;""),IF(U516-T516&lt;=0,"Falls Short",U516-T516),"")</f>
        <v/>
      </c>
      <c r="W516">
        <f>IF(AND(R516&lt;&gt;"",V516&lt;&gt;"Falls Short"),20*V516,"")</f>
        <v/>
      </c>
    </row>
    <row r="517">
      <c r="Q517">
        <f>LEFT(I517,9)</f>
        <v/>
      </c>
      <c r="R517">
        <f>TRIM(B517)</f>
        <v/>
      </c>
      <c r="S517">
        <f>COUNTIF($X$1:$X$9,R517) &gt; 0</f>
        <v/>
      </c>
      <c r="T517">
        <f>IF(AND(S517=FALSE,LEN(R517)&gt;2),4,IF(S517=TRUE,INDEX($Y$1:$Y$9,MATCH(R517,$X$1:$X$9,0)),""))</f>
        <v/>
      </c>
      <c r="U517">
        <f>IF(R517&lt;&gt;"",IF(Q522="",0,MATCH(TRUE,INDEX(Q522:$Q$1100="",0),0)-1),"")</f>
        <v/>
      </c>
      <c r="V517">
        <f>IF(AND(T517&lt;&gt;"",U517&lt;&gt;""),IF(U517-T517&lt;=0,"Falls Short",U517-T517),"")</f>
        <v/>
      </c>
      <c r="W517">
        <f>IF(AND(R517&lt;&gt;"",V517&lt;&gt;"Falls Short"),20*V517,"")</f>
        <v/>
      </c>
    </row>
    <row r="518">
      <c r="Q518">
        <f>LEFT(I518,9)</f>
        <v/>
      </c>
      <c r="R518">
        <f>TRIM(B518)</f>
        <v/>
      </c>
      <c r="S518">
        <f>COUNTIF($X$1:$X$9,R518) &gt; 0</f>
        <v/>
      </c>
      <c r="T518">
        <f>IF(AND(S518=FALSE,LEN(R518)&gt;2),4,IF(S518=TRUE,INDEX($Y$1:$Y$9,MATCH(R518,$X$1:$X$9,0)),""))</f>
        <v/>
      </c>
      <c r="U518">
        <f>IF(R518&lt;&gt;"",IF(Q523="",0,MATCH(TRUE,INDEX(Q523:$Q$1100="",0),0)-1),"")</f>
        <v/>
      </c>
      <c r="V518">
        <f>IF(AND(T518&lt;&gt;"",U518&lt;&gt;""),IF(U518-T518&lt;=0,"Falls Short",U518-T518),"")</f>
        <v/>
      </c>
      <c r="W518">
        <f>IF(AND(R518&lt;&gt;"",V518&lt;&gt;"Falls Short"),20*V518,"")</f>
        <v/>
      </c>
    </row>
    <row r="519">
      <c r="Q519">
        <f>LEFT(I519,9)</f>
        <v/>
      </c>
      <c r="R519">
        <f>TRIM(B519)</f>
        <v/>
      </c>
      <c r="S519">
        <f>COUNTIF($X$1:$X$9,R519) &gt; 0</f>
        <v/>
      </c>
      <c r="T519">
        <f>IF(AND(S519=FALSE,LEN(R519)&gt;2),4,IF(S519=TRUE,INDEX($Y$1:$Y$9,MATCH(R519,$X$1:$X$9,0)),""))</f>
        <v/>
      </c>
      <c r="U519">
        <f>IF(R519&lt;&gt;"",IF(Q524="",0,MATCH(TRUE,INDEX(Q524:$Q$1100="",0),0)-1),"")</f>
        <v/>
      </c>
      <c r="V519">
        <f>IF(AND(T519&lt;&gt;"",U519&lt;&gt;""),IF(U519-T519&lt;=0,"Falls Short",U519-T519),"")</f>
        <v/>
      </c>
      <c r="W519">
        <f>IF(AND(R519&lt;&gt;"",V519&lt;&gt;"Falls Short"),20*V519,"")</f>
        <v/>
      </c>
    </row>
    <row r="520">
      <c r="Q520">
        <f>LEFT(I520,9)</f>
        <v/>
      </c>
      <c r="R520">
        <f>TRIM(B520)</f>
        <v/>
      </c>
      <c r="S520">
        <f>COUNTIF($X$1:$X$9,R520) &gt; 0</f>
        <v/>
      </c>
      <c r="T520">
        <f>IF(AND(S520=FALSE,LEN(R520)&gt;2),4,IF(S520=TRUE,INDEX($Y$1:$Y$9,MATCH(R520,$X$1:$X$9,0)),""))</f>
        <v/>
      </c>
      <c r="U520">
        <f>IF(R520&lt;&gt;"",IF(Q525="",0,MATCH(TRUE,INDEX(Q525:$Q$1100="",0),0)-1),"")</f>
        <v/>
      </c>
      <c r="V520">
        <f>IF(AND(T520&lt;&gt;"",U520&lt;&gt;""),IF(U520-T520&lt;=0,"Falls Short",U520-T520),"")</f>
        <v/>
      </c>
      <c r="W520">
        <f>IF(AND(R520&lt;&gt;"",V520&lt;&gt;"Falls Short"),20*V520,"")</f>
        <v/>
      </c>
    </row>
    <row r="521">
      <c r="Q521">
        <f>LEFT(I521,9)</f>
        <v/>
      </c>
      <c r="R521">
        <f>TRIM(B521)</f>
        <v/>
      </c>
      <c r="S521">
        <f>COUNTIF($X$1:$X$9,R521) &gt; 0</f>
        <v/>
      </c>
      <c r="T521">
        <f>IF(AND(S521=FALSE,LEN(R521)&gt;2),4,IF(S521=TRUE,INDEX($Y$1:$Y$9,MATCH(R521,$X$1:$X$9,0)),""))</f>
        <v/>
      </c>
      <c r="U521">
        <f>IF(R521&lt;&gt;"",IF(Q526="",0,MATCH(TRUE,INDEX(Q526:$Q$1100="",0),0)-1),"")</f>
        <v/>
      </c>
      <c r="V521">
        <f>IF(AND(T521&lt;&gt;"",U521&lt;&gt;""),IF(U521-T521&lt;=0,"Falls Short",U521-T521),"")</f>
        <v/>
      </c>
      <c r="W521">
        <f>IF(AND(R521&lt;&gt;"",V521&lt;&gt;"Falls Short"),20*V521,"")</f>
        <v/>
      </c>
    </row>
    <row r="522">
      <c r="Q522">
        <f>LEFT(I522,9)</f>
        <v/>
      </c>
      <c r="R522">
        <f>TRIM(B522)</f>
        <v/>
      </c>
      <c r="S522">
        <f>COUNTIF($X$1:$X$9,R522) &gt; 0</f>
        <v/>
      </c>
      <c r="T522">
        <f>IF(AND(S522=FALSE,LEN(R522)&gt;2),4,IF(S522=TRUE,INDEX($Y$1:$Y$9,MATCH(R522,$X$1:$X$9,0)),""))</f>
        <v/>
      </c>
      <c r="U522">
        <f>IF(R522&lt;&gt;"",IF(Q527="",0,MATCH(TRUE,INDEX(Q527:$Q$1100="",0),0)-1),"")</f>
        <v/>
      </c>
      <c r="V522">
        <f>IF(AND(T522&lt;&gt;"",U522&lt;&gt;""),IF(U522-T522&lt;=0,"Falls Short",U522-T522),"")</f>
        <v/>
      </c>
      <c r="W522">
        <f>IF(AND(R522&lt;&gt;"",V522&lt;&gt;"Falls Short"),20*V522,"")</f>
        <v/>
      </c>
    </row>
    <row r="523">
      <c r="Q523">
        <f>LEFT(I523,9)</f>
        <v/>
      </c>
      <c r="R523">
        <f>TRIM(B523)</f>
        <v/>
      </c>
      <c r="S523">
        <f>COUNTIF($X$1:$X$9,R523) &gt; 0</f>
        <v/>
      </c>
      <c r="T523">
        <f>IF(AND(S523=FALSE,LEN(R523)&gt;2),4,IF(S523=TRUE,INDEX($Y$1:$Y$9,MATCH(R523,$X$1:$X$9,0)),""))</f>
        <v/>
      </c>
      <c r="U523">
        <f>IF(R523&lt;&gt;"",IF(Q528="",0,MATCH(TRUE,INDEX(Q528:$Q$1100="",0),0)-1),"")</f>
        <v/>
      </c>
      <c r="V523">
        <f>IF(AND(T523&lt;&gt;"",U523&lt;&gt;""),IF(U523-T523&lt;=0,"Falls Short",U523-T523),"")</f>
        <v/>
      </c>
      <c r="W523">
        <f>IF(AND(R523&lt;&gt;"",V523&lt;&gt;"Falls Short"),20*V523,"")</f>
        <v/>
      </c>
    </row>
    <row r="524">
      <c r="Q524">
        <f>LEFT(I524,9)</f>
        <v/>
      </c>
      <c r="R524">
        <f>TRIM(B524)</f>
        <v/>
      </c>
      <c r="S524">
        <f>COUNTIF($X$1:$X$9,R524) &gt; 0</f>
        <v/>
      </c>
      <c r="T524">
        <f>IF(AND(S524=FALSE,LEN(R524)&gt;2),4,IF(S524=TRUE,INDEX($Y$1:$Y$9,MATCH(R524,$X$1:$X$9,0)),""))</f>
        <v/>
      </c>
      <c r="U524">
        <f>IF(R524&lt;&gt;"",IF(Q529="",0,MATCH(TRUE,INDEX(Q529:$Q$1100="",0),0)-1),"")</f>
        <v/>
      </c>
      <c r="V524">
        <f>IF(AND(T524&lt;&gt;"",U524&lt;&gt;""),IF(U524-T524&lt;=0,"Falls Short",U524-T524),"")</f>
        <v/>
      </c>
      <c r="W524">
        <f>IF(AND(R524&lt;&gt;"",V524&lt;&gt;"Falls Short"),20*V524,"")</f>
        <v/>
      </c>
    </row>
    <row r="525">
      <c r="Q525">
        <f>LEFT(I525,9)</f>
        <v/>
      </c>
      <c r="R525">
        <f>TRIM(B525)</f>
        <v/>
      </c>
      <c r="S525">
        <f>COUNTIF($X$1:$X$9,R525) &gt; 0</f>
        <v/>
      </c>
      <c r="T525">
        <f>IF(AND(S525=FALSE,LEN(R525)&gt;2),4,IF(S525=TRUE,INDEX($Y$1:$Y$9,MATCH(R525,$X$1:$X$9,0)),""))</f>
        <v/>
      </c>
      <c r="U525">
        <f>IF(R525&lt;&gt;"",IF(Q530="",0,MATCH(TRUE,INDEX(Q530:$Q$1100="",0),0)-1),"")</f>
        <v/>
      </c>
      <c r="V525">
        <f>IF(AND(T525&lt;&gt;"",U525&lt;&gt;""),IF(U525-T525&lt;=0,"Falls Short",U525-T525),"")</f>
        <v/>
      </c>
      <c r="W525">
        <f>IF(AND(R525&lt;&gt;"",V525&lt;&gt;"Falls Short"),20*V525,"")</f>
        <v/>
      </c>
    </row>
    <row r="526">
      <c r="Q526">
        <f>LEFT(I526,9)</f>
        <v/>
      </c>
      <c r="R526">
        <f>TRIM(B526)</f>
        <v/>
      </c>
      <c r="S526">
        <f>COUNTIF($X$1:$X$9,R526) &gt; 0</f>
        <v/>
      </c>
      <c r="T526">
        <f>IF(AND(S526=FALSE,LEN(R526)&gt;2),4,IF(S526=TRUE,INDEX($Y$1:$Y$9,MATCH(R526,$X$1:$X$9,0)),""))</f>
        <v/>
      </c>
      <c r="U526">
        <f>IF(R526&lt;&gt;"",IF(Q531="",0,MATCH(TRUE,INDEX(Q531:$Q$1100="",0),0)-1),"")</f>
        <v/>
      </c>
      <c r="V526">
        <f>IF(AND(T526&lt;&gt;"",U526&lt;&gt;""),IF(U526-T526&lt;=0,"Falls Short",U526-T526),"")</f>
        <v/>
      </c>
      <c r="W526">
        <f>IF(AND(R526&lt;&gt;"",V526&lt;&gt;"Falls Short"),20*V526,"")</f>
        <v/>
      </c>
    </row>
    <row r="527">
      <c r="Q527">
        <f>LEFT(I527,9)</f>
        <v/>
      </c>
      <c r="R527">
        <f>TRIM(B527)</f>
        <v/>
      </c>
      <c r="S527">
        <f>COUNTIF($X$1:$X$9,R527) &gt; 0</f>
        <v/>
      </c>
      <c r="T527">
        <f>IF(AND(S527=FALSE,LEN(R527)&gt;2),4,IF(S527=TRUE,INDEX($Y$1:$Y$9,MATCH(R527,$X$1:$X$9,0)),""))</f>
        <v/>
      </c>
      <c r="U527">
        <f>IF(R527&lt;&gt;"",IF(Q532="",0,MATCH(TRUE,INDEX(Q532:$Q$1100="",0),0)-1),"")</f>
        <v/>
      </c>
      <c r="V527">
        <f>IF(AND(T527&lt;&gt;"",U527&lt;&gt;""),IF(U527-T527&lt;=0,"Falls Short",U527-T527),"")</f>
        <v/>
      </c>
      <c r="W527">
        <f>IF(AND(R527&lt;&gt;"",V527&lt;&gt;"Falls Short"),20*V527,"")</f>
        <v/>
      </c>
    </row>
    <row r="528">
      <c r="Q528">
        <f>LEFT(I528,9)</f>
        <v/>
      </c>
      <c r="R528">
        <f>TRIM(B528)</f>
        <v/>
      </c>
      <c r="S528">
        <f>COUNTIF($X$1:$X$9,R528) &gt; 0</f>
        <v/>
      </c>
      <c r="T528">
        <f>IF(AND(S528=FALSE,LEN(R528)&gt;2),4,IF(S528=TRUE,INDEX($Y$1:$Y$9,MATCH(R528,$X$1:$X$9,0)),""))</f>
        <v/>
      </c>
      <c r="U528">
        <f>IF(R528&lt;&gt;"",IF(Q533="",0,MATCH(TRUE,INDEX(Q533:$Q$1100="",0),0)-1),"")</f>
        <v/>
      </c>
      <c r="V528">
        <f>IF(AND(T528&lt;&gt;"",U528&lt;&gt;""),IF(U528-T528&lt;=0,"Falls Short",U528-T528),"")</f>
        <v/>
      </c>
      <c r="W528">
        <f>IF(AND(R528&lt;&gt;"",V528&lt;&gt;"Falls Short"),20*V528,"")</f>
        <v/>
      </c>
    </row>
    <row r="529">
      <c r="Q529">
        <f>LEFT(I529,9)</f>
        <v/>
      </c>
      <c r="R529">
        <f>TRIM(B529)</f>
        <v/>
      </c>
      <c r="S529">
        <f>COUNTIF($X$1:$X$9,R529) &gt; 0</f>
        <v/>
      </c>
      <c r="T529">
        <f>IF(AND(S529=FALSE,LEN(R529)&gt;2),4,IF(S529=TRUE,INDEX($Y$1:$Y$9,MATCH(R529,$X$1:$X$9,0)),""))</f>
        <v/>
      </c>
      <c r="U529">
        <f>IF(R529&lt;&gt;"",IF(Q534="",0,MATCH(TRUE,INDEX(Q534:$Q$1100="",0),0)-1),"")</f>
        <v/>
      </c>
      <c r="V529">
        <f>IF(AND(T529&lt;&gt;"",U529&lt;&gt;""),IF(U529-T529&lt;=0,"Falls Short",U529-T529),"")</f>
        <v/>
      </c>
      <c r="W529">
        <f>IF(AND(R529&lt;&gt;"",V529&lt;&gt;"Falls Short"),20*V529,"")</f>
        <v/>
      </c>
    </row>
    <row r="530">
      <c r="Q530">
        <f>LEFT(I530,9)</f>
        <v/>
      </c>
      <c r="R530">
        <f>TRIM(B530)</f>
        <v/>
      </c>
      <c r="S530">
        <f>COUNTIF($X$1:$X$9,R530) &gt; 0</f>
        <v/>
      </c>
      <c r="T530">
        <f>IF(AND(S530=FALSE,LEN(R530)&gt;2),4,IF(S530=TRUE,INDEX($Y$1:$Y$9,MATCH(R530,$X$1:$X$9,0)),""))</f>
        <v/>
      </c>
      <c r="U530">
        <f>IF(R530&lt;&gt;"",IF(Q535="",0,MATCH(TRUE,INDEX(Q535:$Q$1100="",0),0)-1),"")</f>
        <v/>
      </c>
      <c r="V530">
        <f>IF(AND(T530&lt;&gt;"",U530&lt;&gt;""),IF(U530-T530&lt;=0,"Falls Short",U530-T530),"")</f>
        <v/>
      </c>
      <c r="W530">
        <f>IF(AND(R530&lt;&gt;"",V530&lt;&gt;"Falls Short"),20*V530,"")</f>
        <v/>
      </c>
    </row>
    <row r="531">
      <c r="Q531">
        <f>LEFT(I531,9)</f>
        <v/>
      </c>
      <c r="R531">
        <f>TRIM(B531)</f>
        <v/>
      </c>
      <c r="S531">
        <f>COUNTIF($X$1:$X$9,R531) &gt; 0</f>
        <v/>
      </c>
      <c r="T531">
        <f>IF(AND(S531=FALSE,LEN(R531)&gt;2),4,IF(S531=TRUE,INDEX($Y$1:$Y$9,MATCH(R531,$X$1:$X$9,0)),""))</f>
        <v/>
      </c>
      <c r="U531">
        <f>IF(R531&lt;&gt;"",IF(Q536="",0,MATCH(TRUE,INDEX(Q536:$Q$1100="",0),0)-1),"")</f>
        <v/>
      </c>
      <c r="V531">
        <f>IF(AND(T531&lt;&gt;"",U531&lt;&gt;""),IF(U531-T531&lt;=0,"Falls Short",U531-T531),"")</f>
        <v/>
      </c>
      <c r="W531">
        <f>IF(AND(R531&lt;&gt;"",V531&lt;&gt;"Falls Short"),20*V531,"")</f>
        <v/>
      </c>
    </row>
    <row r="532">
      <c r="Q532">
        <f>LEFT(I532,9)</f>
        <v/>
      </c>
      <c r="R532">
        <f>TRIM(B532)</f>
        <v/>
      </c>
      <c r="S532">
        <f>COUNTIF($X$1:$X$9,R532) &gt; 0</f>
        <v/>
      </c>
      <c r="T532">
        <f>IF(AND(S532=FALSE,LEN(R532)&gt;2),4,IF(S532=TRUE,INDEX($Y$1:$Y$9,MATCH(R532,$X$1:$X$9,0)),""))</f>
        <v/>
      </c>
      <c r="U532">
        <f>IF(R532&lt;&gt;"",IF(Q537="",0,MATCH(TRUE,INDEX(Q537:$Q$1100="",0),0)-1),"")</f>
        <v/>
      </c>
      <c r="V532">
        <f>IF(AND(T532&lt;&gt;"",U532&lt;&gt;""),IF(U532-T532&lt;=0,"Falls Short",U532-T532),"")</f>
        <v/>
      </c>
      <c r="W532">
        <f>IF(AND(R532&lt;&gt;"",V532&lt;&gt;"Falls Short"),20*V532,"")</f>
        <v/>
      </c>
    </row>
    <row r="533">
      <c r="Q533">
        <f>LEFT(I533,9)</f>
        <v/>
      </c>
      <c r="R533">
        <f>TRIM(B533)</f>
        <v/>
      </c>
      <c r="S533">
        <f>COUNTIF($X$1:$X$9,R533) &gt; 0</f>
        <v/>
      </c>
      <c r="T533">
        <f>IF(AND(S533=FALSE,LEN(R533)&gt;2),4,IF(S533=TRUE,INDEX($Y$1:$Y$9,MATCH(R533,$X$1:$X$9,0)),""))</f>
        <v/>
      </c>
      <c r="U533">
        <f>IF(R533&lt;&gt;"",IF(Q538="",0,MATCH(TRUE,INDEX(Q538:$Q$1100="",0),0)-1),"")</f>
        <v/>
      </c>
      <c r="V533">
        <f>IF(AND(T533&lt;&gt;"",U533&lt;&gt;""),IF(U533-T533&lt;=0,"Falls Short",U533-T533),"")</f>
        <v/>
      </c>
      <c r="W533">
        <f>IF(AND(R533&lt;&gt;"",V533&lt;&gt;"Falls Short"),20*V533,"")</f>
        <v/>
      </c>
    </row>
    <row r="534">
      <c r="Q534">
        <f>LEFT(I534,9)</f>
        <v/>
      </c>
      <c r="R534">
        <f>TRIM(B534)</f>
        <v/>
      </c>
      <c r="S534">
        <f>COUNTIF($X$1:$X$9,R534) &gt; 0</f>
        <v/>
      </c>
      <c r="T534">
        <f>IF(AND(S534=FALSE,LEN(R534)&gt;2),4,IF(S534=TRUE,INDEX($Y$1:$Y$9,MATCH(R534,$X$1:$X$9,0)),""))</f>
        <v/>
      </c>
      <c r="U534">
        <f>IF(R534&lt;&gt;"",IF(Q539="",0,MATCH(TRUE,INDEX(Q539:$Q$1100="",0),0)-1),"")</f>
        <v/>
      </c>
      <c r="V534">
        <f>IF(AND(T534&lt;&gt;"",U534&lt;&gt;""),IF(U534-T534&lt;=0,"Falls Short",U534-T534),"")</f>
        <v/>
      </c>
      <c r="W534">
        <f>IF(AND(R534&lt;&gt;"",V534&lt;&gt;"Falls Short"),20*V534,"")</f>
        <v/>
      </c>
    </row>
    <row r="535">
      <c r="Q535">
        <f>LEFT(I535,9)</f>
        <v/>
      </c>
      <c r="R535">
        <f>TRIM(B535)</f>
        <v/>
      </c>
      <c r="S535">
        <f>COUNTIF($X$1:$X$9,R535) &gt; 0</f>
        <v/>
      </c>
      <c r="T535">
        <f>IF(AND(S535=FALSE,LEN(R535)&gt;2),4,IF(S535=TRUE,INDEX($Y$1:$Y$9,MATCH(R535,$X$1:$X$9,0)),""))</f>
        <v/>
      </c>
      <c r="U535">
        <f>IF(R535&lt;&gt;"",IF(Q540="",0,MATCH(TRUE,INDEX(Q540:$Q$1100="",0),0)-1),"")</f>
        <v/>
      </c>
      <c r="V535">
        <f>IF(AND(T535&lt;&gt;"",U535&lt;&gt;""),IF(U535-T535&lt;=0,"Falls Short",U535-T535),"")</f>
        <v/>
      </c>
      <c r="W535">
        <f>IF(AND(R535&lt;&gt;"",V535&lt;&gt;"Falls Short"),20*V535,"")</f>
        <v/>
      </c>
    </row>
    <row r="536">
      <c r="Q536">
        <f>LEFT(I536,9)</f>
        <v/>
      </c>
      <c r="R536">
        <f>TRIM(B536)</f>
        <v/>
      </c>
      <c r="S536">
        <f>COUNTIF($X$1:$X$9,R536) &gt; 0</f>
        <v/>
      </c>
      <c r="T536">
        <f>IF(AND(S536=FALSE,LEN(R536)&gt;2),4,IF(S536=TRUE,INDEX($Y$1:$Y$9,MATCH(R536,$X$1:$X$9,0)),""))</f>
        <v/>
      </c>
      <c r="U536">
        <f>IF(R536&lt;&gt;"",IF(Q541="",0,MATCH(TRUE,INDEX(Q541:$Q$1100="",0),0)-1),"")</f>
        <v/>
      </c>
      <c r="V536">
        <f>IF(AND(T536&lt;&gt;"",U536&lt;&gt;""),IF(U536-T536&lt;=0,"Falls Short",U536-T536),"")</f>
        <v/>
      </c>
      <c r="W536">
        <f>IF(AND(R536&lt;&gt;"",V536&lt;&gt;"Falls Short"),20*V536,"")</f>
        <v/>
      </c>
    </row>
    <row r="537">
      <c r="Q537">
        <f>LEFT(I537,9)</f>
        <v/>
      </c>
      <c r="R537">
        <f>TRIM(B537)</f>
        <v/>
      </c>
      <c r="S537">
        <f>COUNTIF($X$1:$X$9,R537) &gt; 0</f>
        <v/>
      </c>
      <c r="T537">
        <f>IF(AND(S537=FALSE,LEN(R537)&gt;2),4,IF(S537=TRUE,INDEX($Y$1:$Y$9,MATCH(R537,$X$1:$X$9,0)),""))</f>
        <v/>
      </c>
      <c r="U537">
        <f>IF(R537&lt;&gt;"",IF(Q542="",0,MATCH(TRUE,INDEX(Q542:$Q$1100="",0),0)-1),"")</f>
        <v/>
      </c>
      <c r="V537">
        <f>IF(AND(T537&lt;&gt;"",U537&lt;&gt;""),IF(U537-T537&lt;=0,"Falls Short",U537-T537),"")</f>
        <v/>
      </c>
      <c r="W537">
        <f>IF(AND(R537&lt;&gt;"",V537&lt;&gt;"Falls Short"),20*V537,"")</f>
        <v/>
      </c>
    </row>
    <row r="538">
      <c r="Q538">
        <f>LEFT(I538,9)</f>
        <v/>
      </c>
      <c r="R538">
        <f>TRIM(B538)</f>
        <v/>
      </c>
      <c r="S538">
        <f>COUNTIF($X$1:$X$9,R538) &gt; 0</f>
        <v/>
      </c>
      <c r="T538">
        <f>IF(AND(S538=FALSE,LEN(R538)&gt;2),4,IF(S538=TRUE,INDEX($Y$1:$Y$9,MATCH(R538,$X$1:$X$9,0)),""))</f>
        <v/>
      </c>
      <c r="U538">
        <f>IF(R538&lt;&gt;"",IF(Q543="",0,MATCH(TRUE,INDEX(Q543:$Q$1100="",0),0)-1),"")</f>
        <v/>
      </c>
      <c r="V538">
        <f>IF(AND(T538&lt;&gt;"",U538&lt;&gt;""),IF(U538-T538&lt;=0,"Falls Short",U538-T538),"")</f>
        <v/>
      </c>
      <c r="W538">
        <f>IF(AND(R538&lt;&gt;"",V538&lt;&gt;"Falls Short"),20*V538,"")</f>
        <v/>
      </c>
    </row>
    <row r="539">
      <c r="Q539">
        <f>LEFT(I539,9)</f>
        <v/>
      </c>
      <c r="R539">
        <f>TRIM(B539)</f>
        <v/>
      </c>
      <c r="S539">
        <f>COUNTIF($X$1:$X$9,R539) &gt; 0</f>
        <v/>
      </c>
      <c r="T539">
        <f>IF(AND(S539=FALSE,LEN(R539)&gt;2),4,IF(S539=TRUE,INDEX($Y$1:$Y$9,MATCH(R539,$X$1:$X$9,0)),""))</f>
        <v/>
      </c>
      <c r="U539">
        <f>IF(R539&lt;&gt;"",IF(Q544="",0,MATCH(TRUE,INDEX(Q544:$Q$1100="",0),0)-1),"")</f>
        <v/>
      </c>
      <c r="V539">
        <f>IF(AND(T539&lt;&gt;"",U539&lt;&gt;""),IF(U539-T539&lt;=0,"Falls Short",U539-T539),"")</f>
        <v/>
      </c>
      <c r="W539">
        <f>IF(AND(R539&lt;&gt;"",V539&lt;&gt;"Falls Short"),20*V539,"")</f>
        <v/>
      </c>
    </row>
    <row r="540">
      <c r="Q540">
        <f>LEFT(I540,9)</f>
        <v/>
      </c>
      <c r="R540">
        <f>TRIM(B540)</f>
        <v/>
      </c>
      <c r="S540">
        <f>COUNTIF($X$1:$X$9,R540) &gt; 0</f>
        <v/>
      </c>
      <c r="T540">
        <f>IF(AND(S540=FALSE,LEN(R540)&gt;2),4,IF(S540=TRUE,INDEX($Y$1:$Y$9,MATCH(R540,$X$1:$X$9,0)),""))</f>
        <v/>
      </c>
      <c r="U540">
        <f>IF(R540&lt;&gt;"",IF(Q545="",0,MATCH(TRUE,INDEX(Q545:$Q$1100="",0),0)-1),"")</f>
        <v/>
      </c>
      <c r="V540">
        <f>IF(AND(T540&lt;&gt;"",U540&lt;&gt;""),IF(U540-T540&lt;=0,"Falls Short",U540-T540),"")</f>
        <v/>
      </c>
      <c r="W540">
        <f>IF(AND(R540&lt;&gt;"",V540&lt;&gt;"Falls Short"),20*V540,"")</f>
        <v/>
      </c>
    </row>
    <row r="541">
      <c r="Q541">
        <f>LEFT(I541,9)</f>
        <v/>
      </c>
      <c r="R541">
        <f>TRIM(B541)</f>
        <v/>
      </c>
      <c r="S541">
        <f>COUNTIF($X$1:$X$9,R541) &gt; 0</f>
        <v/>
      </c>
      <c r="T541">
        <f>IF(AND(S541=FALSE,LEN(R541)&gt;2),4,IF(S541=TRUE,INDEX($Y$1:$Y$9,MATCH(R541,$X$1:$X$9,0)),""))</f>
        <v/>
      </c>
      <c r="U541">
        <f>IF(R541&lt;&gt;"",IF(Q546="",0,MATCH(TRUE,INDEX(Q546:$Q$1100="",0),0)-1),"")</f>
        <v/>
      </c>
      <c r="V541">
        <f>IF(AND(T541&lt;&gt;"",U541&lt;&gt;""),IF(U541-T541&lt;=0,"Falls Short",U541-T541),"")</f>
        <v/>
      </c>
      <c r="W541">
        <f>IF(AND(R541&lt;&gt;"",V541&lt;&gt;"Falls Short"),20*V541,"")</f>
        <v/>
      </c>
    </row>
    <row r="542">
      <c r="Q542">
        <f>LEFT(I542,9)</f>
        <v/>
      </c>
      <c r="R542">
        <f>TRIM(B542)</f>
        <v/>
      </c>
      <c r="S542">
        <f>COUNTIF($X$1:$X$9,R542) &gt; 0</f>
        <v/>
      </c>
      <c r="T542">
        <f>IF(AND(S542=FALSE,LEN(R542)&gt;2),4,IF(S542=TRUE,INDEX($Y$1:$Y$9,MATCH(R542,$X$1:$X$9,0)),""))</f>
        <v/>
      </c>
      <c r="U542">
        <f>IF(R542&lt;&gt;"",IF(Q547="",0,MATCH(TRUE,INDEX(Q547:$Q$1100="",0),0)-1),"")</f>
        <v/>
      </c>
      <c r="V542">
        <f>IF(AND(T542&lt;&gt;"",U542&lt;&gt;""),IF(U542-T542&lt;=0,"Falls Short",U542-T542),"")</f>
        <v/>
      </c>
      <c r="W542">
        <f>IF(AND(R542&lt;&gt;"",V542&lt;&gt;"Falls Short"),20*V542,"")</f>
        <v/>
      </c>
    </row>
    <row r="543">
      <c r="Q543">
        <f>LEFT(I543,9)</f>
        <v/>
      </c>
      <c r="R543">
        <f>TRIM(B543)</f>
        <v/>
      </c>
      <c r="S543">
        <f>COUNTIF($X$1:$X$9,R543) &gt; 0</f>
        <v/>
      </c>
      <c r="T543">
        <f>IF(AND(S543=FALSE,LEN(R543)&gt;2),4,IF(S543=TRUE,INDEX($Y$1:$Y$9,MATCH(R543,$X$1:$X$9,0)),""))</f>
        <v/>
      </c>
      <c r="U543">
        <f>IF(R543&lt;&gt;"",IF(Q548="",0,MATCH(TRUE,INDEX(Q548:$Q$1100="",0),0)-1),"")</f>
        <v/>
      </c>
      <c r="V543">
        <f>IF(AND(T543&lt;&gt;"",U543&lt;&gt;""),IF(U543-T543&lt;=0,"Falls Short",U543-T543),"")</f>
        <v/>
      </c>
      <c r="W543">
        <f>IF(AND(R543&lt;&gt;"",V543&lt;&gt;"Falls Short"),20*V543,"")</f>
        <v/>
      </c>
    </row>
    <row r="544">
      <c r="Q544">
        <f>LEFT(I544,9)</f>
        <v/>
      </c>
      <c r="R544">
        <f>TRIM(B544)</f>
        <v/>
      </c>
      <c r="S544">
        <f>COUNTIF($X$1:$X$9,R544) &gt; 0</f>
        <v/>
      </c>
      <c r="T544">
        <f>IF(AND(S544=FALSE,LEN(R544)&gt;2),4,IF(S544=TRUE,INDEX($Y$1:$Y$9,MATCH(R544,$X$1:$X$9,0)),""))</f>
        <v/>
      </c>
      <c r="U544">
        <f>IF(R544&lt;&gt;"",IF(Q549="",0,MATCH(TRUE,INDEX(Q549:$Q$1100="",0),0)-1),"")</f>
        <v/>
      </c>
      <c r="V544">
        <f>IF(AND(T544&lt;&gt;"",U544&lt;&gt;""),IF(U544-T544&lt;=0,"Falls Short",U544-T544),"")</f>
        <v/>
      </c>
      <c r="W544">
        <f>IF(AND(R544&lt;&gt;"",V544&lt;&gt;"Falls Short"),20*V544,"")</f>
        <v/>
      </c>
    </row>
    <row r="545">
      <c r="Q545">
        <f>LEFT(I545,9)</f>
        <v/>
      </c>
      <c r="R545">
        <f>TRIM(B545)</f>
        <v/>
      </c>
      <c r="S545">
        <f>COUNTIF($X$1:$X$9,R545) &gt; 0</f>
        <v/>
      </c>
      <c r="T545">
        <f>IF(AND(S545=FALSE,LEN(R545)&gt;2),4,IF(S545=TRUE,INDEX($Y$1:$Y$9,MATCH(R545,$X$1:$X$9,0)),""))</f>
        <v/>
      </c>
      <c r="U545">
        <f>IF(R545&lt;&gt;"",IF(Q550="",0,MATCH(TRUE,INDEX(Q550:$Q$1100="",0),0)-1),"")</f>
        <v/>
      </c>
      <c r="V545">
        <f>IF(AND(T545&lt;&gt;"",U545&lt;&gt;""),IF(U545-T545&lt;=0,"Falls Short",U545-T545),"")</f>
        <v/>
      </c>
      <c r="W545">
        <f>IF(AND(R545&lt;&gt;"",V545&lt;&gt;"Falls Short"),20*V545,"")</f>
        <v/>
      </c>
    </row>
    <row r="546">
      <c r="Q546">
        <f>LEFT(I546,9)</f>
        <v/>
      </c>
      <c r="R546">
        <f>TRIM(B546)</f>
        <v/>
      </c>
      <c r="S546">
        <f>COUNTIF($X$1:$X$9,R546) &gt; 0</f>
        <v/>
      </c>
      <c r="T546">
        <f>IF(AND(S546=FALSE,LEN(R546)&gt;2),4,IF(S546=TRUE,INDEX($Y$1:$Y$9,MATCH(R546,$X$1:$X$9,0)),""))</f>
        <v/>
      </c>
      <c r="U546">
        <f>IF(R546&lt;&gt;"",IF(Q551="",0,MATCH(TRUE,INDEX(Q551:$Q$1100="",0),0)-1),"")</f>
        <v/>
      </c>
      <c r="V546">
        <f>IF(AND(T546&lt;&gt;"",U546&lt;&gt;""),IF(U546-T546&lt;=0,"Falls Short",U546-T546),"")</f>
        <v/>
      </c>
      <c r="W546">
        <f>IF(AND(R546&lt;&gt;"",V546&lt;&gt;"Falls Short"),20*V546,"")</f>
        <v/>
      </c>
    </row>
    <row r="547">
      <c r="Q547">
        <f>LEFT(I547,9)</f>
        <v/>
      </c>
      <c r="R547">
        <f>TRIM(B547)</f>
        <v/>
      </c>
      <c r="S547">
        <f>COUNTIF($X$1:$X$9,R547) &gt; 0</f>
        <v/>
      </c>
      <c r="T547">
        <f>IF(AND(S547=FALSE,LEN(R547)&gt;2),4,IF(S547=TRUE,INDEX($Y$1:$Y$9,MATCH(R547,$X$1:$X$9,0)),""))</f>
        <v/>
      </c>
      <c r="U547">
        <f>IF(R547&lt;&gt;"",IF(Q552="",0,MATCH(TRUE,INDEX(Q552:$Q$1100="",0),0)-1),"")</f>
        <v/>
      </c>
      <c r="V547">
        <f>IF(AND(T547&lt;&gt;"",U547&lt;&gt;""),IF(U547-T547&lt;=0,"Falls Short",U547-T547),"")</f>
        <v/>
      </c>
      <c r="W547">
        <f>IF(AND(R547&lt;&gt;"",V547&lt;&gt;"Falls Short"),20*V547,"")</f>
        <v/>
      </c>
    </row>
    <row r="548">
      <c r="Q548">
        <f>LEFT(I548,9)</f>
        <v/>
      </c>
      <c r="R548">
        <f>TRIM(B548)</f>
        <v/>
      </c>
      <c r="S548">
        <f>COUNTIF($X$1:$X$9,R548) &gt; 0</f>
        <v/>
      </c>
      <c r="T548">
        <f>IF(AND(S548=FALSE,LEN(R548)&gt;2),4,IF(S548=TRUE,INDEX($Y$1:$Y$9,MATCH(R548,$X$1:$X$9,0)),""))</f>
        <v/>
      </c>
      <c r="U548">
        <f>IF(R548&lt;&gt;"",IF(Q553="",0,MATCH(TRUE,INDEX(Q553:$Q$1100="",0),0)-1),"")</f>
        <v/>
      </c>
      <c r="V548">
        <f>IF(AND(T548&lt;&gt;"",U548&lt;&gt;""),IF(U548-T548&lt;=0,"Falls Short",U548-T548),"")</f>
        <v/>
      </c>
      <c r="W548">
        <f>IF(AND(R548&lt;&gt;"",V548&lt;&gt;"Falls Short"),20*V548,"")</f>
        <v/>
      </c>
    </row>
    <row r="549">
      <c r="Q549">
        <f>LEFT(I549,9)</f>
        <v/>
      </c>
      <c r="R549">
        <f>TRIM(B549)</f>
        <v/>
      </c>
      <c r="S549">
        <f>COUNTIF($X$1:$X$9,R549) &gt; 0</f>
        <v/>
      </c>
      <c r="T549">
        <f>IF(AND(S549=FALSE,LEN(R549)&gt;2),4,IF(S549=TRUE,INDEX($Y$1:$Y$9,MATCH(R549,$X$1:$X$9,0)),""))</f>
        <v/>
      </c>
      <c r="U549">
        <f>IF(R549&lt;&gt;"",IF(Q554="",0,MATCH(TRUE,INDEX(Q554:$Q$1100="",0),0)-1),"")</f>
        <v/>
      </c>
      <c r="V549">
        <f>IF(AND(T549&lt;&gt;"",U549&lt;&gt;""),IF(U549-T549&lt;=0,"Falls Short",U549-T549),"")</f>
        <v/>
      </c>
      <c r="W549">
        <f>IF(AND(R549&lt;&gt;"",V549&lt;&gt;"Falls Short"),20*V549,"")</f>
        <v/>
      </c>
    </row>
    <row r="550">
      <c r="Q550">
        <f>LEFT(I550,9)</f>
        <v/>
      </c>
      <c r="R550">
        <f>TRIM(B550)</f>
        <v/>
      </c>
      <c r="S550">
        <f>COUNTIF($X$1:$X$9,R550) &gt; 0</f>
        <v/>
      </c>
      <c r="T550">
        <f>IF(AND(S550=FALSE,LEN(R550)&gt;2),4,IF(S550=TRUE,INDEX($Y$1:$Y$9,MATCH(R550,$X$1:$X$9,0)),""))</f>
        <v/>
      </c>
      <c r="U550">
        <f>IF(R550&lt;&gt;"",IF(Q555="",0,MATCH(TRUE,INDEX(Q555:$Q$1100="",0),0)-1),"")</f>
        <v/>
      </c>
      <c r="V550">
        <f>IF(AND(T550&lt;&gt;"",U550&lt;&gt;""),IF(U550-T550&lt;=0,"Falls Short",U550-T550),"")</f>
        <v/>
      </c>
      <c r="W550">
        <f>IF(AND(R550&lt;&gt;"",V550&lt;&gt;"Falls Short"),20*V550,"")</f>
        <v/>
      </c>
    </row>
    <row r="551">
      <c r="Q551">
        <f>LEFT(I551,9)</f>
        <v/>
      </c>
      <c r="R551">
        <f>TRIM(B551)</f>
        <v/>
      </c>
      <c r="S551">
        <f>COUNTIF($X$1:$X$9,R551) &gt; 0</f>
        <v/>
      </c>
      <c r="T551">
        <f>IF(AND(S551=FALSE,LEN(R551)&gt;2),4,IF(S551=TRUE,INDEX($Y$1:$Y$9,MATCH(R551,$X$1:$X$9,0)),""))</f>
        <v/>
      </c>
      <c r="U551">
        <f>IF(R551&lt;&gt;"",IF(Q556="",0,MATCH(TRUE,INDEX(Q556:$Q$1100="",0),0)-1),"")</f>
        <v/>
      </c>
      <c r="V551">
        <f>IF(AND(T551&lt;&gt;"",U551&lt;&gt;""),IF(U551-T551&lt;=0,"Falls Short",U551-T551),"")</f>
        <v/>
      </c>
      <c r="W551">
        <f>IF(AND(R551&lt;&gt;"",V551&lt;&gt;"Falls Short"),20*V551,"")</f>
        <v/>
      </c>
    </row>
    <row r="552">
      <c r="Q552">
        <f>LEFT(I552,9)</f>
        <v/>
      </c>
      <c r="R552">
        <f>TRIM(B552)</f>
        <v/>
      </c>
      <c r="S552">
        <f>COUNTIF($X$1:$X$9,R552) &gt; 0</f>
        <v/>
      </c>
      <c r="T552">
        <f>IF(AND(S552=FALSE,LEN(R552)&gt;2),4,IF(S552=TRUE,INDEX($Y$1:$Y$9,MATCH(R552,$X$1:$X$9,0)),""))</f>
        <v/>
      </c>
      <c r="U552">
        <f>IF(R552&lt;&gt;"",IF(Q557="",0,MATCH(TRUE,INDEX(Q557:$Q$1100="",0),0)-1),"")</f>
        <v/>
      </c>
      <c r="V552">
        <f>IF(AND(T552&lt;&gt;"",U552&lt;&gt;""),IF(U552-T552&lt;=0,"Falls Short",U552-T552),"")</f>
        <v/>
      </c>
      <c r="W552">
        <f>IF(AND(R552&lt;&gt;"",V552&lt;&gt;"Falls Short"),20*V552,"")</f>
        <v/>
      </c>
    </row>
    <row r="553">
      <c r="Q553">
        <f>LEFT(I553,9)</f>
        <v/>
      </c>
      <c r="R553">
        <f>TRIM(B553)</f>
        <v/>
      </c>
      <c r="S553">
        <f>COUNTIF($X$1:$X$9,R553) &gt; 0</f>
        <v/>
      </c>
      <c r="T553">
        <f>IF(AND(S553=FALSE,LEN(R553)&gt;2),4,IF(S553=TRUE,INDEX($Y$1:$Y$9,MATCH(R553,$X$1:$X$9,0)),""))</f>
        <v/>
      </c>
      <c r="U553">
        <f>IF(R553&lt;&gt;"",IF(Q558="",0,MATCH(TRUE,INDEX(Q558:$Q$1100="",0),0)-1),"")</f>
        <v/>
      </c>
      <c r="V553">
        <f>IF(AND(T553&lt;&gt;"",U553&lt;&gt;""),IF(U553-T553&lt;=0,"Falls Short",U553-T553),"")</f>
        <v/>
      </c>
      <c r="W553">
        <f>IF(AND(R553&lt;&gt;"",V553&lt;&gt;"Falls Short"),20*V553,"")</f>
        <v/>
      </c>
    </row>
    <row r="554">
      <c r="Q554">
        <f>LEFT(I554,9)</f>
        <v/>
      </c>
      <c r="R554">
        <f>TRIM(B554)</f>
        <v/>
      </c>
      <c r="S554">
        <f>COUNTIF($X$1:$X$9,R554) &gt; 0</f>
        <v/>
      </c>
      <c r="T554">
        <f>IF(AND(S554=FALSE,LEN(R554)&gt;2),4,IF(S554=TRUE,INDEX($Y$1:$Y$9,MATCH(R554,$X$1:$X$9,0)),""))</f>
        <v/>
      </c>
      <c r="U554">
        <f>IF(R554&lt;&gt;"",IF(Q559="",0,MATCH(TRUE,INDEX(Q559:$Q$1100="",0),0)-1),"")</f>
        <v/>
      </c>
      <c r="V554">
        <f>IF(AND(T554&lt;&gt;"",U554&lt;&gt;""),IF(U554-T554&lt;=0,"Falls Short",U554-T554),"")</f>
        <v/>
      </c>
      <c r="W554">
        <f>IF(AND(R554&lt;&gt;"",V554&lt;&gt;"Falls Short"),20*V554,"")</f>
        <v/>
      </c>
    </row>
    <row r="555">
      <c r="Q555">
        <f>LEFT(I555,9)</f>
        <v/>
      </c>
      <c r="R555">
        <f>TRIM(B555)</f>
        <v/>
      </c>
      <c r="S555">
        <f>COUNTIF($X$1:$X$9,R555) &gt; 0</f>
        <v/>
      </c>
      <c r="T555">
        <f>IF(AND(S555=FALSE,LEN(R555)&gt;2),4,IF(S555=TRUE,INDEX($Y$1:$Y$9,MATCH(R555,$X$1:$X$9,0)),""))</f>
        <v/>
      </c>
      <c r="U555">
        <f>IF(R555&lt;&gt;"",IF(Q560="",0,MATCH(TRUE,INDEX(Q560:$Q$1100="",0),0)-1),"")</f>
        <v/>
      </c>
      <c r="V555">
        <f>IF(AND(T555&lt;&gt;"",U555&lt;&gt;""),IF(U555-T555&lt;=0,"Falls Short",U555-T555),"")</f>
        <v/>
      </c>
      <c r="W555">
        <f>IF(AND(R555&lt;&gt;"",V555&lt;&gt;"Falls Short"),20*V555,"")</f>
        <v/>
      </c>
    </row>
    <row r="556">
      <c r="Q556">
        <f>LEFT(I556,9)</f>
        <v/>
      </c>
      <c r="R556">
        <f>TRIM(B556)</f>
        <v/>
      </c>
      <c r="S556">
        <f>COUNTIF($X$1:$X$9,R556) &gt; 0</f>
        <v/>
      </c>
      <c r="T556">
        <f>IF(AND(S556=FALSE,LEN(R556)&gt;2),4,IF(S556=TRUE,INDEX($Y$1:$Y$9,MATCH(R556,$X$1:$X$9,0)),""))</f>
        <v/>
      </c>
      <c r="U556">
        <f>IF(R556&lt;&gt;"",IF(Q561="",0,MATCH(TRUE,INDEX(Q561:$Q$1100="",0),0)-1),"")</f>
        <v/>
      </c>
      <c r="V556">
        <f>IF(AND(T556&lt;&gt;"",U556&lt;&gt;""),IF(U556-T556&lt;=0,"Falls Short",U556-T556),"")</f>
        <v/>
      </c>
      <c r="W556">
        <f>IF(AND(R556&lt;&gt;"",V556&lt;&gt;"Falls Short"),20*V556,"")</f>
        <v/>
      </c>
    </row>
    <row r="557">
      <c r="Q557">
        <f>LEFT(I557,9)</f>
        <v/>
      </c>
      <c r="R557">
        <f>TRIM(B557)</f>
        <v/>
      </c>
      <c r="S557">
        <f>COUNTIF($X$1:$X$9,R557) &gt; 0</f>
        <v/>
      </c>
      <c r="T557">
        <f>IF(AND(S557=FALSE,LEN(R557)&gt;2),4,IF(S557=TRUE,INDEX($Y$1:$Y$9,MATCH(R557,$X$1:$X$9,0)),""))</f>
        <v/>
      </c>
      <c r="U557">
        <f>IF(R557&lt;&gt;"",IF(Q562="",0,MATCH(TRUE,INDEX(Q562:$Q$1100="",0),0)-1),"")</f>
        <v/>
      </c>
      <c r="V557">
        <f>IF(AND(T557&lt;&gt;"",U557&lt;&gt;""),IF(U557-T557&lt;=0,"Falls Short",U557-T557),"")</f>
        <v/>
      </c>
      <c r="W557">
        <f>IF(AND(R557&lt;&gt;"",V557&lt;&gt;"Falls Short"),20*V557,"")</f>
        <v/>
      </c>
    </row>
    <row r="558">
      <c r="Q558">
        <f>LEFT(I558,9)</f>
        <v/>
      </c>
      <c r="R558">
        <f>TRIM(B558)</f>
        <v/>
      </c>
      <c r="S558">
        <f>COUNTIF($X$1:$X$9,R558) &gt; 0</f>
        <v/>
      </c>
      <c r="T558">
        <f>IF(AND(S558=FALSE,LEN(R558)&gt;2),4,IF(S558=TRUE,INDEX($Y$1:$Y$9,MATCH(R558,$X$1:$X$9,0)),""))</f>
        <v/>
      </c>
      <c r="U558">
        <f>IF(R558&lt;&gt;"",IF(Q563="",0,MATCH(TRUE,INDEX(Q563:$Q$1100="",0),0)-1),"")</f>
        <v/>
      </c>
      <c r="V558">
        <f>IF(AND(T558&lt;&gt;"",U558&lt;&gt;""),IF(U558-T558&lt;=0,"Falls Short",U558-T558),"")</f>
        <v/>
      </c>
      <c r="W558">
        <f>IF(AND(R558&lt;&gt;"",V558&lt;&gt;"Falls Short"),20*V558,"")</f>
        <v/>
      </c>
    </row>
    <row r="559">
      <c r="Q559">
        <f>LEFT(I559,9)</f>
        <v/>
      </c>
      <c r="R559">
        <f>TRIM(B559)</f>
        <v/>
      </c>
      <c r="S559">
        <f>COUNTIF($X$1:$X$9,R559) &gt; 0</f>
        <v/>
      </c>
      <c r="T559">
        <f>IF(AND(S559=FALSE,LEN(R559)&gt;2),4,IF(S559=TRUE,INDEX($Y$1:$Y$9,MATCH(R559,$X$1:$X$9,0)),""))</f>
        <v/>
      </c>
      <c r="U559">
        <f>IF(R559&lt;&gt;"",IF(Q564="",0,MATCH(TRUE,INDEX(Q564:$Q$1100="",0),0)-1),"")</f>
        <v/>
      </c>
      <c r="V559">
        <f>IF(AND(T559&lt;&gt;"",U559&lt;&gt;""),IF(U559-T559&lt;=0,"Falls Short",U559-T559),"")</f>
        <v/>
      </c>
      <c r="W559">
        <f>IF(AND(R559&lt;&gt;"",V559&lt;&gt;"Falls Short"),20*V559,"")</f>
        <v/>
      </c>
    </row>
    <row r="560">
      <c r="Q560">
        <f>LEFT(I560,9)</f>
        <v/>
      </c>
      <c r="R560">
        <f>TRIM(B560)</f>
        <v/>
      </c>
      <c r="S560">
        <f>COUNTIF($X$1:$X$9,R560) &gt; 0</f>
        <v/>
      </c>
      <c r="T560">
        <f>IF(AND(S560=FALSE,LEN(R560)&gt;2),4,IF(S560=TRUE,INDEX($Y$1:$Y$9,MATCH(R560,$X$1:$X$9,0)),""))</f>
        <v/>
      </c>
      <c r="U560">
        <f>IF(R560&lt;&gt;"",IF(Q565="",0,MATCH(TRUE,INDEX(Q565:$Q$1100="",0),0)-1),"")</f>
        <v/>
      </c>
      <c r="V560">
        <f>IF(AND(T560&lt;&gt;"",U560&lt;&gt;""),IF(U560-T560&lt;=0,"Falls Short",U560-T560),"")</f>
        <v/>
      </c>
      <c r="W560">
        <f>IF(AND(R560&lt;&gt;"",V560&lt;&gt;"Falls Short"),20*V560,"")</f>
        <v/>
      </c>
    </row>
    <row r="561">
      <c r="Q561">
        <f>LEFT(I561,9)</f>
        <v/>
      </c>
      <c r="R561">
        <f>TRIM(B561)</f>
        <v/>
      </c>
      <c r="S561">
        <f>COUNTIF($X$1:$X$9,R561) &gt; 0</f>
        <v/>
      </c>
      <c r="T561">
        <f>IF(AND(S561=FALSE,LEN(R561)&gt;2),4,IF(S561=TRUE,INDEX($Y$1:$Y$9,MATCH(R561,$X$1:$X$9,0)),""))</f>
        <v/>
      </c>
      <c r="U561">
        <f>IF(R561&lt;&gt;"",IF(Q566="",0,MATCH(TRUE,INDEX(Q566:$Q$1100="",0),0)-1),"")</f>
        <v/>
      </c>
      <c r="V561">
        <f>IF(AND(T561&lt;&gt;"",U561&lt;&gt;""),IF(U561-T561&lt;=0,"Falls Short",U561-T561),"")</f>
        <v/>
      </c>
      <c r="W561">
        <f>IF(AND(R561&lt;&gt;"",V561&lt;&gt;"Falls Short"),20*V561,"")</f>
        <v/>
      </c>
    </row>
    <row r="562">
      <c r="Q562">
        <f>LEFT(I562,9)</f>
        <v/>
      </c>
      <c r="R562">
        <f>TRIM(B562)</f>
        <v/>
      </c>
      <c r="S562">
        <f>COUNTIF($X$1:$X$9,R562) &gt; 0</f>
        <v/>
      </c>
      <c r="T562">
        <f>IF(AND(S562=FALSE,LEN(R562)&gt;2),4,IF(S562=TRUE,INDEX($Y$1:$Y$9,MATCH(R562,$X$1:$X$9,0)),""))</f>
        <v/>
      </c>
      <c r="U562">
        <f>IF(R562&lt;&gt;"",IF(Q567="",0,MATCH(TRUE,INDEX(Q567:$Q$1100="",0),0)-1),"")</f>
        <v/>
      </c>
      <c r="V562">
        <f>IF(AND(T562&lt;&gt;"",U562&lt;&gt;""),IF(U562-T562&lt;=0,"Falls Short",U562-T562),"")</f>
        <v/>
      </c>
      <c r="W562">
        <f>IF(AND(R562&lt;&gt;"",V562&lt;&gt;"Falls Short"),20*V562,"")</f>
        <v/>
      </c>
    </row>
    <row r="563">
      <c r="Q563">
        <f>LEFT(I563,9)</f>
        <v/>
      </c>
      <c r="R563">
        <f>TRIM(B563)</f>
        <v/>
      </c>
      <c r="S563">
        <f>COUNTIF($X$1:$X$9,R563) &gt; 0</f>
        <v/>
      </c>
      <c r="T563">
        <f>IF(AND(S563=FALSE,LEN(R563)&gt;2),4,IF(S563=TRUE,INDEX($Y$1:$Y$9,MATCH(R563,$X$1:$X$9,0)),""))</f>
        <v/>
      </c>
      <c r="U563">
        <f>IF(R563&lt;&gt;"",IF(Q568="",0,MATCH(TRUE,INDEX(Q568:$Q$1100="",0),0)-1),"")</f>
        <v/>
      </c>
      <c r="V563">
        <f>IF(AND(T563&lt;&gt;"",U563&lt;&gt;""),IF(U563-T563&lt;=0,"Falls Short",U563-T563),"")</f>
        <v/>
      </c>
      <c r="W563">
        <f>IF(AND(R563&lt;&gt;"",V563&lt;&gt;"Falls Short"),20*V563,"")</f>
        <v/>
      </c>
    </row>
    <row r="564">
      <c r="Q564">
        <f>LEFT(I564,9)</f>
        <v/>
      </c>
      <c r="R564">
        <f>TRIM(B564)</f>
        <v/>
      </c>
      <c r="S564">
        <f>COUNTIF($X$1:$X$9,R564) &gt; 0</f>
        <v/>
      </c>
      <c r="T564">
        <f>IF(AND(S564=FALSE,LEN(R564)&gt;2),4,IF(S564=TRUE,INDEX($Y$1:$Y$9,MATCH(R564,$X$1:$X$9,0)),""))</f>
        <v/>
      </c>
      <c r="U564">
        <f>IF(R564&lt;&gt;"",IF(Q569="",0,MATCH(TRUE,INDEX(Q569:$Q$1100="",0),0)-1),"")</f>
        <v/>
      </c>
      <c r="V564">
        <f>IF(AND(T564&lt;&gt;"",U564&lt;&gt;""),IF(U564-T564&lt;=0,"Falls Short",U564-T564),"")</f>
        <v/>
      </c>
      <c r="W564">
        <f>IF(AND(R564&lt;&gt;"",V564&lt;&gt;"Falls Short"),20*V564,"")</f>
        <v/>
      </c>
    </row>
    <row r="565">
      <c r="Q565">
        <f>LEFT(I565,9)</f>
        <v/>
      </c>
      <c r="R565">
        <f>TRIM(B565)</f>
        <v/>
      </c>
      <c r="S565">
        <f>COUNTIF($X$1:$X$9,R565) &gt; 0</f>
        <v/>
      </c>
      <c r="T565">
        <f>IF(AND(S565=FALSE,LEN(R565)&gt;2),4,IF(S565=TRUE,INDEX($Y$1:$Y$9,MATCH(R565,$X$1:$X$9,0)),""))</f>
        <v/>
      </c>
      <c r="U565">
        <f>IF(R565&lt;&gt;"",IF(Q570="",0,MATCH(TRUE,INDEX(Q570:$Q$1100="",0),0)-1),"")</f>
        <v/>
      </c>
      <c r="V565">
        <f>IF(AND(T565&lt;&gt;"",U565&lt;&gt;""),IF(U565-T565&lt;=0,"Falls Short",U565-T565),"")</f>
        <v/>
      </c>
      <c r="W565">
        <f>IF(AND(R565&lt;&gt;"",V565&lt;&gt;"Falls Short"),20*V565,"")</f>
        <v/>
      </c>
    </row>
    <row r="566">
      <c r="Q566">
        <f>LEFT(I566,9)</f>
        <v/>
      </c>
      <c r="R566">
        <f>TRIM(B566)</f>
        <v/>
      </c>
      <c r="S566">
        <f>COUNTIF($X$1:$X$9,R566) &gt; 0</f>
        <v/>
      </c>
      <c r="T566">
        <f>IF(AND(S566=FALSE,LEN(R566)&gt;2),4,IF(S566=TRUE,INDEX($Y$1:$Y$9,MATCH(R566,$X$1:$X$9,0)),""))</f>
        <v/>
      </c>
      <c r="U566">
        <f>IF(R566&lt;&gt;"",IF(Q571="",0,MATCH(TRUE,INDEX(Q571:$Q$1100="",0),0)-1),"")</f>
        <v/>
      </c>
      <c r="V566">
        <f>IF(AND(T566&lt;&gt;"",U566&lt;&gt;""),IF(U566-T566&lt;=0,"Falls Short",U566-T566),"")</f>
        <v/>
      </c>
      <c r="W566">
        <f>IF(AND(R566&lt;&gt;"",V566&lt;&gt;"Falls Short"),20*V566,"")</f>
        <v/>
      </c>
    </row>
    <row r="567">
      <c r="Q567">
        <f>LEFT(I567,9)</f>
        <v/>
      </c>
      <c r="R567">
        <f>TRIM(B567)</f>
        <v/>
      </c>
      <c r="S567">
        <f>COUNTIF($X$1:$X$9,R567) &gt; 0</f>
        <v/>
      </c>
      <c r="T567">
        <f>IF(AND(S567=FALSE,LEN(R567)&gt;2),4,IF(S567=TRUE,INDEX($Y$1:$Y$9,MATCH(R567,$X$1:$X$9,0)),""))</f>
        <v/>
      </c>
      <c r="U567">
        <f>IF(R567&lt;&gt;"",IF(Q572="",0,MATCH(TRUE,INDEX(Q572:$Q$1100="",0),0)-1),"")</f>
        <v/>
      </c>
      <c r="V567">
        <f>IF(AND(T567&lt;&gt;"",U567&lt;&gt;""),IF(U567-T567&lt;=0,"Falls Short",U567-T567),"")</f>
        <v/>
      </c>
      <c r="W567">
        <f>IF(AND(R567&lt;&gt;"",V567&lt;&gt;"Falls Short"),20*V567,"")</f>
        <v/>
      </c>
    </row>
    <row r="568">
      <c r="Q568">
        <f>LEFT(I568,9)</f>
        <v/>
      </c>
      <c r="R568">
        <f>TRIM(B568)</f>
        <v/>
      </c>
      <c r="S568">
        <f>COUNTIF($X$1:$X$9,R568) &gt; 0</f>
        <v/>
      </c>
      <c r="T568">
        <f>IF(AND(S568=FALSE,LEN(R568)&gt;2),4,IF(S568=TRUE,INDEX($Y$1:$Y$9,MATCH(R568,$X$1:$X$9,0)),""))</f>
        <v/>
      </c>
      <c r="U568">
        <f>IF(R568&lt;&gt;"",IF(Q573="",0,MATCH(TRUE,INDEX(Q573:$Q$1100="",0),0)-1),"")</f>
        <v/>
      </c>
      <c r="V568">
        <f>IF(AND(T568&lt;&gt;"",U568&lt;&gt;""),IF(U568-T568&lt;=0,"Falls Short",U568-T568),"")</f>
        <v/>
      </c>
      <c r="W568">
        <f>IF(AND(R568&lt;&gt;"",V568&lt;&gt;"Falls Short"),20*V568,"")</f>
        <v/>
      </c>
    </row>
    <row r="569">
      <c r="Q569">
        <f>LEFT(I569,9)</f>
        <v/>
      </c>
      <c r="R569">
        <f>TRIM(B569)</f>
        <v/>
      </c>
      <c r="S569">
        <f>COUNTIF($X$1:$X$9,R569) &gt; 0</f>
        <v/>
      </c>
      <c r="T569">
        <f>IF(AND(S569=FALSE,LEN(R569)&gt;2),4,IF(S569=TRUE,INDEX($Y$1:$Y$9,MATCH(R569,$X$1:$X$9,0)),""))</f>
        <v/>
      </c>
      <c r="U569">
        <f>IF(R569&lt;&gt;"",IF(Q574="",0,MATCH(TRUE,INDEX(Q574:$Q$1100="",0),0)-1),"")</f>
        <v/>
      </c>
      <c r="V569">
        <f>IF(AND(T569&lt;&gt;"",U569&lt;&gt;""),IF(U569-T569&lt;=0,"Falls Short",U569-T569),"")</f>
        <v/>
      </c>
      <c r="W569">
        <f>IF(AND(R569&lt;&gt;"",V569&lt;&gt;"Falls Short"),20*V569,"")</f>
        <v/>
      </c>
    </row>
    <row r="570">
      <c r="Q570">
        <f>LEFT(I570,9)</f>
        <v/>
      </c>
      <c r="R570">
        <f>TRIM(B570)</f>
        <v/>
      </c>
      <c r="S570">
        <f>COUNTIF($X$1:$X$9,R570) &gt; 0</f>
        <v/>
      </c>
      <c r="T570">
        <f>IF(AND(S570=FALSE,LEN(R570)&gt;2),4,IF(S570=TRUE,INDEX($Y$1:$Y$9,MATCH(R570,$X$1:$X$9,0)),""))</f>
        <v/>
      </c>
      <c r="U570">
        <f>IF(R570&lt;&gt;"",IF(Q575="",0,MATCH(TRUE,INDEX(Q575:$Q$1100="",0),0)-1),"")</f>
        <v/>
      </c>
      <c r="V570">
        <f>IF(AND(T570&lt;&gt;"",U570&lt;&gt;""),IF(U570-T570&lt;=0,"Falls Short",U570-T570),"")</f>
        <v/>
      </c>
      <c r="W570">
        <f>IF(AND(R570&lt;&gt;"",V570&lt;&gt;"Falls Short"),20*V570,"")</f>
        <v/>
      </c>
    </row>
    <row r="571">
      <c r="Q571">
        <f>LEFT(I571,9)</f>
        <v/>
      </c>
      <c r="R571">
        <f>TRIM(B571)</f>
        <v/>
      </c>
      <c r="S571">
        <f>COUNTIF($X$1:$X$9,R571) &gt; 0</f>
        <v/>
      </c>
      <c r="T571">
        <f>IF(AND(S571=FALSE,LEN(R571)&gt;2),4,IF(S571=TRUE,INDEX($Y$1:$Y$9,MATCH(R571,$X$1:$X$9,0)),""))</f>
        <v/>
      </c>
      <c r="U571">
        <f>IF(R571&lt;&gt;"",IF(Q576="",0,MATCH(TRUE,INDEX(Q576:$Q$1100="",0),0)-1),"")</f>
        <v/>
      </c>
      <c r="V571">
        <f>IF(AND(T571&lt;&gt;"",U571&lt;&gt;""),IF(U571-T571&lt;=0,"Falls Short",U571-T571),"")</f>
        <v/>
      </c>
      <c r="W571">
        <f>IF(AND(R571&lt;&gt;"",V571&lt;&gt;"Falls Short"),20*V571,"")</f>
        <v/>
      </c>
    </row>
    <row r="572">
      <c r="Q572">
        <f>LEFT(I572,9)</f>
        <v/>
      </c>
      <c r="R572">
        <f>TRIM(B572)</f>
        <v/>
      </c>
      <c r="S572">
        <f>COUNTIF($X$1:$X$9,R572) &gt; 0</f>
        <v/>
      </c>
      <c r="T572">
        <f>IF(AND(S572=FALSE,LEN(R572)&gt;2),4,IF(S572=TRUE,INDEX($Y$1:$Y$9,MATCH(R572,$X$1:$X$9,0)),""))</f>
        <v/>
      </c>
      <c r="U572">
        <f>IF(R572&lt;&gt;"",IF(Q577="",0,MATCH(TRUE,INDEX(Q577:$Q$1100="",0),0)-1),"")</f>
        <v/>
      </c>
      <c r="V572">
        <f>IF(AND(T572&lt;&gt;"",U572&lt;&gt;""),IF(U572-T572&lt;=0,"Falls Short",U572-T572),"")</f>
        <v/>
      </c>
      <c r="W572">
        <f>IF(AND(R572&lt;&gt;"",V572&lt;&gt;"Falls Short"),20*V572,"")</f>
        <v/>
      </c>
    </row>
    <row r="573">
      <c r="Q573">
        <f>LEFT(I573,9)</f>
        <v/>
      </c>
      <c r="R573">
        <f>TRIM(B573)</f>
        <v/>
      </c>
      <c r="S573">
        <f>COUNTIF($X$1:$X$9,R573) &gt; 0</f>
        <v/>
      </c>
      <c r="T573">
        <f>IF(AND(S573=FALSE,LEN(R573)&gt;2),4,IF(S573=TRUE,INDEX($Y$1:$Y$9,MATCH(R573,$X$1:$X$9,0)),""))</f>
        <v/>
      </c>
      <c r="U573">
        <f>IF(R573&lt;&gt;"",IF(Q578="",0,MATCH(TRUE,INDEX(Q578:$Q$1100="",0),0)-1),"")</f>
        <v/>
      </c>
      <c r="V573">
        <f>IF(AND(T573&lt;&gt;"",U573&lt;&gt;""),IF(U573-T573&lt;=0,"Falls Short",U573-T573),"")</f>
        <v/>
      </c>
      <c r="W573">
        <f>IF(AND(R573&lt;&gt;"",V573&lt;&gt;"Falls Short"),20*V573,"")</f>
        <v/>
      </c>
    </row>
    <row r="574">
      <c r="Q574">
        <f>LEFT(I574,9)</f>
        <v/>
      </c>
      <c r="R574">
        <f>TRIM(B574)</f>
        <v/>
      </c>
      <c r="S574">
        <f>COUNTIF($X$1:$X$9,R574) &gt; 0</f>
        <v/>
      </c>
      <c r="T574">
        <f>IF(AND(S574=FALSE,LEN(R574)&gt;2),4,IF(S574=TRUE,INDEX($Y$1:$Y$9,MATCH(R574,$X$1:$X$9,0)),""))</f>
        <v/>
      </c>
      <c r="U574">
        <f>IF(R574&lt;&gt;"",IF(Q579="",0,MATCH(TRUE,INDEX(Q579:$Q$1100="",0),0)-1),"")</f>
        <v/>
      </c>
      <c r="V574">
        <f>IF(AND(T574&lt;&gt;"",U574&lt;&gt;""),IF(U574-T574&lt;=0,"Falls Short",U574-T574),"")</f>
        <v/>
      </c>
      <c r="W574">
        <f>IF(AND(R574&lt;&gt;"",V574&lt;&gt;"Falls Short"),20*V574,"")</f>
        <v/>
      </c>
    </row>
    <row r="575">
      <c r="Q575">
        <f>LEFT(I575,9)</f>
        <v/>
      </c>
      <c r="R575">
        <f>TRIM(B575)</f>
        <v/>
      </c>
      <c r="S575">
        <f>COUNTIF($X$1:$X$9,R575) &gt; 0</f>
        <v/>
      </c>
      <c r="T575">
        <f>IF(AND(S575=FALSE,LEN(R575)&gt;2),4,IF(S575=TRUE,INDEX($Y$1:$Y$9,MATCH(R575,$X$1:$X$9,0)),""))</f>
        <v/>
      </c>
      <c r="U575">
        <f>IF(R575&lt;&gt;"",IF(Q580="",0,MATCH(TRUE,INDEX(Q580:$Q$1100="",0),0)-1),"")</f>
        <v/>
      </c>
      <c r="V575">
        <f>IF(AND(T575&lt;&gt;"",U575&lt;&gt;""),IF(U575-T575&lt;=0,"Falls Short",U575-T575),"")</f>
        <v/>
      </c>
      <c r="W575">
        <f>IF(AND(R575&lt;&gt;"",V575&lt;&gt;"Falls Short"),20*V575,"")</f>
        <v/>
      </c>
    </row>
    <row r="576">
      <c r="Q576">
        <f>LEFT(I576,9)</f>
        <v/>
      </c>
      <c r="R576">
        <f>TRIM(B576)</f>
        <v/>
      </c>
      <c r="S576">
        <f>COUNTIF($X$1:$X$9,R576) &gt; 0</f>
        <v/>
      </c>
      <c r="T576">
        <f>IF(AND(S576=FALSE,LEN(R576)&gt;2),4,IF(S576=TRUE,INDEX($Y$1:$Y$9,MATCH(R576,$X$1:$X$9,0)),""))</f>
        <v/>
      </c>
      <c r="U576">
        <f>IF(R576&lt;&gt;"",IF(Q581="",0,MATCH(TRUE,INDEX(Q581:$Q$1100="",0),0)-1),"")</f>
        <v/>
      </c>
      <c r="V576">
        <f>IF(AND(T576&lt;&gt;"",U576&lt;&gt;""),IF(U576-T576&lt;=0,"Falls Short",U576-T576),"")</f>
        <v/>
      </c>
      <c r="W576">
        <f>IF(AND(R576&lt;&gt;"",V576&lt;&gt;"Falls Short"),20*V576,"")</f>
        <v/>
      </c>
    </row>
    <row r="577">
      <c r="Q577">
        <f>LEFT(I577,9)</f>
        <v/>
      </c>
      <c r="R577">
        <f>TRIM(B577)</f>
        <v/>
      </c>
      <c r="S577">
        <f>COUNTIF($X$1:$X$9,R577) &gt; 0</f>
        <v/>
      </c>
      <c r="T577">
        <f>IF(AND(S577=FALSE,LEN(R577)&gt;2),4,IF(S577=TRUE,INDEX($Y$1:$Y$9,MATCH(R577,$X$1:$X$9,0)),""))</f>
        <v/>
      </c>
      <c r="U577">
        <f>IF(R577&lt;&gt;"",IF(Q582="",0,MATCH(TRUE,INDEX(Q582:$Q$1100="",0),0)-1),"")</f>
        <v/>
      </c>
      <c r="V577">
        <f>IF(AND(T577&lt;&gt;"",U577&lt;&gt;""),IF(U577-T577&lt;=0,"Falls Short",U577-T577),"")</f>
        <v/>
      </c>
      <c r="W577">
        <f>IF(AND(R577&lt;&gt;"",V577&lt;&gt;"Falls Short"),20*V577,"")</f>
        <v/>
      </c>
    </row>
    <row r="578">
      <c r="Q578">
        <f>LEFT(I578,9)</f>
        <v/>
      </c>
      <c r="R578">
        <f>TRIM(B578)</f>
        <v/>
      </c>
      <c r="S578">
        <f>COUNTIF($X$1:$X$9,R578) &gt; 0</f>
        <v/>
      </c>
      <c r="T578">
        <f>IF(AND(S578=FALSE,LEN(R578)&gt;2),4,IF(S578=TRUE,INDEX($Y$1:$Y$9,MATCH(R578,$X$1:$X$9,0)),""))</f>
        <v/>
      </c>
      <c r="U578">
        <f>IF(R578&lt;&gt;"",IF(Q583="",0,MATCH(TRUE,INDEX(Q583:$Q$1100="",0),0)-1),"")</f>
        <v/>
      </c>
      <c r="V578">
        <f>IF(AND(T578&lt;&gt;"",U578&lt;&gt;""),IF(U578-T578&lt;=0,"Falls Short",U578-T578),"")</f>
        <v/>
      </c>
      <c r="W578">
        <f>IF(AND(R578&lt;&gt;"",V578&lt;&gt;"Falls Short"),20*V578,"")</f>
        <v/>
      </c>
    </row>
    <row r="579">
      <c r="Q579">
        <f>LEFT(I579,9)</f>
        <v/>
      </c>
      <c r="R579">
        <f>TRIM(B579)</f>
        <v/>
      </c>
      <c r="S579">
        <f>COUNTIF($X$1:$X$9,R579) &gt; 0</f>
        <v/>
      </c>
      <c r="T579">
        <f>IF(AND(S579=FALSE,LEN(R579)&gt;2),4,IF(S579=TRUE,INDEX($Y$1:$Y$9,MATCH(R579,$X$1:$X$9,0)),""))</f>
        <v/>
      </c>
      <c r="U579">
        <f>IF(R579&lt;&gt;"",IF(Q584="",0,MATCH(TRUE,INDEX(Q584:$Q$1100="",0),0)-1),"")</f>
        <v/>
      </c>
      <c r="V579">
        <f>IF(AND(T579&lt;&gt;"",U579&lt;&gt;""),IF(U579-T579&lt;=0,"Falls Short",U579-T579),"")</f>
        <v/>
      </c>
      <c r="W579">
        <f>IF(AND(R579&lt;&gt;"",V579&lt;&gt;"Falls Short"),20*V579,"")</f>
        <v/>
      </c>
    </row>
    <row r="580">
      <c r="Q580">
        <f>LEFT(I580,9)</f>
        <v/>
      </c>
      <c r="R580">
        <f>TRIM(B580)</f>
        <v/>
      </c>
      <c r="S580">
        <f>COUNTIF($X$1:$X$9,R580) &gt; 0</f>
        <v/>
      </c>
      <c r="T580">
        <f>IF(AND(S580=FALSE,LEN(R580)&gt;2),4,IF(S580=TRUE,INDEX($Y$1:$Y$9,MATCH(R580,$X$1:$X$9,0)),""))</f>
        <v/>
      </c>
      <c r="U580">
        <f>IF(R580&lt;&gt;"",IF(Q585="",0,MATCH(TRUE,INDEX(Q585:$Q$1100="",0),0)-1),"")</f>
        <v/>
      </c>
      <c r="V580">
        <f>IF(AND(T580&lt;&gt;"",U580&lt;&gt;""),IF(U580-T580&lt;=0,"Falls Short",U580-T580),"")</f>
        <v/>
      </c>
      <c r="W580">
        <f>IF(AND(R580&lt;&gt;"",V580&lt;&gt;"Falls Short"),20*V580,"")</f>
        <v/>
      </c>
    </row>
    <row r="581">
      <c r="Q581">
        <f>LEFT(I581,9)</f>
        <v/>
      </c>
      <c r="R581">
        <f>TRIM(B581)</f>
        <v/>
      </c>
      <c r="S581">
        <f>COUNTIF($X$1:$X$9,R581) &gt; 0</f>
        <v/>
      </c>
      <c r="T581">
        <f>IF(AND(S581=FALSE,LEN(R581)&gt;2),4,IF(S581=TRUE,INDEX($Y$1:$Y$9,MATCH(R581,$X$1:$X$9,0)),""))</f>
        <v/>
      </c>
      <c r="U581">
        <f>IF(R581&lt;&gt;"",IF(Q586="",0,MATCH(TRUE,INDEX(Q586:$Q$1100="",0),0)-1),"")</f>
        <v/>
      </c>
      <c r="V581">
        <f>IF(AND(T581&lt;&gt;"",U581&lt;&gt;""),IF(U581-T581&lt;=0,"Falls Short",U581-T581),"")</f>
        <v/>
      </c>
      <c r="W581">
        <f>IF(AND(R581&lt;&gt;"",V581&lt;&gt;"Falls Short"),20*V581,"")</f>
        <v/>
      </c>
    </row>
    <row r="582">
      <c r="Q582">
        <f>LEFT(I582,9)</f>
        <v/>
      </c>
      <c r="R582">
        <f>TRIM(B582)</f>
        <v/>
      </c>
      <c r="S582">
        <f>COUNTIF($X$1:$X$9,R582) &gt; 0</f>
        <v/>
      </c>
      <c r="T582">
        <f>IF(AND(S582=FALSE,LEN(R582)&gt;2),4,IF(S582=TRUE,INDEX($Y$1:$Y$9,MATCH(R582,$X$1:$X$9,0)),""))</f>
        <v/>
      </c>
      <c r="U582">
        <f>IF(R582&lt;&gt;"",IF(Q587="",0,MATCH(TRUE,INDEX(Q587:$Q$1100="",0),0)-1),"")</f>
        <v/>
      </c>
      <c r="V582">
        <f>IF(AND(T582&lt;&gt;"",U582&lt;&gt;""),IF(U582-T582&lt;=0,"Falls Short",U582-T582),"")</f>
        <v/>
      </c>
      <c r="W582">
        <f>IF(AND(R582&lt;&gt;"",V582&lt;&gt;"Falls Short"),20*V582,"")</f>
        <v/>
      </c>
    </row>
    <row r="583">
      <c r="Q583">
        <f>LEFT(I583,9)</f>
        <v/>
      </c>
      <c r="R583">
        <f>TRIM(B583)</f>
        <v/>
      </c>
      <c r="S583">
        <f>COUNTIF($X$1:$X$9,R583) &gt; 0</f>
        <v/>
      </c>
      <c r="T583">
        <f>IF(AND(S583=FALSE,LEN(R583)&gt;2),4,IF(S583=TRUE,INDEX($Y$1:$Y$9,MATCH(R583,$X$1:$X$9,0)),""))</f>
        <v/>
      </c>
      <c r="U583">
        <f>IF(R583&lt;&gt;"",IF(Q588="",0,MATCH(TRUE,INDEX(Q588:$Q$1100="",0),0)-1),"")</f>
        <v/>
      </c>
      <c r="V583">
        <f>IF(AND(T583&lt;&gt;"",U583&lt;&gt;""),IF(U583-T583&lt;=0,"Falls Short",U583-T583),"")</f>
        <v/>
      </c>
      <c r="W583">
        <f>IF(AND(R583&lt;&gt;"",V583&lt;&gt;"Falls Short"),20*V583,"")</f>
        <v/>
      </c>
    </row>
    <row r="584">
      <c r="Q584">
        <f>LEFT(I584,9)</f>
        <v/>
      </c>
      <c r="R584">
        <f>TRIM(B584)</f>
        <v/>
      </c>
      <c r="S584">
        <f>COUNTIF($X$1:$X$9,R584) &gt; 0</f>
        <v/>
      </c>
      <c r="T584">
        <f>IF(AND(S584=FALSE,LEN(R584)&gt;2),4,IF(S584=TRUE,INDEX($Y$1:$Y$9,MATCH(R584,$X$1:$X$9,0)),""))</f>
        <v/>
      </c>
      <c r="U584">
        <f>IF(R584&lt;&gt;"",IF(Q589="",0,MATCH(TRUE,INDEX(Q589:$Q$1100="",0),0)-1),"")</f>
        <v/>
      </c>
      <c r="V584">
        <f>IF(AND(T584&lt;&gt;"",U584&lt;&gt;""),IF(U584-T584&lt;=0,"Falls Short",U584-T584),"")</f>
        <v/>
      </c>
      <c r="W584">
        <f>IF(AND(R584&lt;&gt;"",V584&lt;&gt;"Falls Short"),20*V584,"")</f>
        <v/>
      </c>
    </row>
    <row r="585">
      <c r="Q585">
        <f>LEFT(I585,9)</f>
        <v/>
      </c>
      <c r="R585">
        <f>TRIM(B585)</f>
        <v/>
      </c>
      <c r="S585">
        <f>COUNTIF($X$1:$X$9,R585) &gt; 0</f>
        <v/>
      </c>
      <c r="T585">
        <f>IF(AND(S585=FALSE,LEN(R585)&gt;2),4,IF(S585=TRUE,INDEX($Y$1:$Y$9,MATCH(R585,$X$1:$X$9,0)),""))</f>
        <v/>
      </c>
      <c r="U585">
        <f>IF(R585&lt;&gt;"",IF(Q590="",0,MATCH(TRUE,INDEX(Q590:$Q$1100="",0),0)-1),"")</f>
        <v/>
      </c>
      <c r="V585">
        <f>IF(AND(T585&lt;&gt;"",U585&lt;&gt;""),IF(U585-T585&lt;=0,"Falls Short",U585-T585),"")</f>
        <v/>
      </c>
      <c r="W585">
        <f>IF(AND(R585&lt;&gt;"",V585&lt;&gt;"Falls Short"),20*V585,"")</f>
        <v/>
      </c>
    </row>
    <row r="586">
      <c r="Q586">
        <f>LEFT(I586,9)</f>
        <v/>
      </c>
      <c r="R586">
        <f>TRIM(B586)</f>
        <v/>
      </c>
      <c r="S586">
        <f>COUNTIF($X$1:$X$9,R586) &gt; 0</f>
        <v/>
      </c>
      <c r="T586">
        <f>IF(AND(S586=FALSE,LEN(R586)&gt;2),4,IF(S586=TRUE,INDEX($Y$1:$Y$9,MATCH(R586,$X$1:$X$9,0)),""))</f>
        <v/>
      </c>
      <c r="U586">
        <f>IF(R586&lt;&gt;"",IF(Q591="",0,MATCH(TRUE,INDEX(Q591:$Q$1100="",0),0)-1),"")</f>
        <v/>
      </c>
      <c r="V586">
        <f>IF(AND(T586&lt;&gt;"",U586&lt;&gt;""),IF(U586-T586&lt;=0,"Falls Short",U586-T586),"")</f>
        <v/>
      </c>
      <c r="W586">
        <f>IF(AND(R586&lt;&gt;"",V586&lt;&gt;"Falls Short"),20*V586,"")</f>
        <v/>
      </c>
    </row>
    <row r="587">
      <c r="Q587">
        <f>LEFT(I587,9)</f>
        <v/>
      </c>
      <c r="R587">
        <f>TRIM(B587)</f>
        <v/>
      </c>
      <c r="S587">
        <f>COUNTIF($X$1:$X$9,R587) &gt; 0</f>
        <v/>
      </c>
      <c r="T587">
        <f>IF(AND(S587=FALSE,LEN(R587)&gt;2),4,IF(S587=TRUE,INDEX($Y$1:$Y$9,MATCH(R587,$X$1:$X$9,0)),""))</f>
        <v/>
      </c>
      <c r="U587">
        <f>IF(R587&lt;&gt;"",IF(Q592="",0,MATCH(TRUE,INDEX(Q592:$Q$1100="",0),0)-1),"")</f>
        <v/>
      </c>
      <c r="V587">
        <f>IF(AND(T587&lt;&gt;"",U587&lt;&gt;""),IF(U587-T587&lt;=0,"Falls Short",U587-T587),"")</f>
        <v/>
      </c>
      <c r="W587">
        <f>IF(AND(R587&lt;&gt;"",V587&lt;&gt;"Falls Short"),20*V587,"")</f>
        <v/>
      </c>
    </row>
    <row r="588">
      <c r="Q588">
        <f>LEFT(I588,9)</f>
        <v/>
      </c>
      <c r="R588">
        <f>TRIM(B588)</f>
        <v/>
      </c>
      <c r="S588">
        <f>COUNTIF($X$1:$X$9,R588) &gt; 0</f>
        <v/>
      </c>
      <c r="T588">
        <f>IF(AND(S588=FALSE,LEN(R588)&gt;2),4,IF(S588=TRUE,INDEX($Y$1:$Y$9,MATCH(R588,$X$1:$X$9,0)),""))</f>
        <v/>
      </c>
      <c r="U588">
        <f>IF(R588&lt;&gt;"",IF(Q593="",0,MATCH(TRUE,INDEX(Q593:$Q$1100="",0),0)-1),"")</f>
        <v/>
      </c>
      <c r="V588">
        <f>IF(AND(T588&lt;&gt;"",U588&lt;&gt;""),IF(U588-T588&lt;=0,"Falls Short",U588-T588),"")</f>
        <v/>
      </c>
      <c r="W588">
        <f>IF(AND(R588&lt;&gt;"",V588&lt;&gt;"Falls Short"),20*V588,"")</f>
        <v/>
      </c>
    </row>
    <row r="589">
      <c r="Q589">
        <f>LEFT(I589,9)</f>
        <v/>
      </c>
      <c r="R589">
        <f>TRIM(B589)</f>
        <v/>
      </c>
      <c r="S589">
        <f>COUNTIF($X$1:$X$9,R589) &gt; 0</f>
        <v/>
      </c>
      <c r="T589">
        <f>IF(AND(S589=FALSE,LEN(R589)&gt;2),4,IF(S589=TRUE,INDEX($Y$1:$Y$9,MATCH(R589,$X$1:$X$9,0)),""))</f>
        <v/>
      </c>
      <c r="U589">
        <f>IF(R589&lt;&gt;"",IF(Q594="",0,MATCH(TRUE,INDEX(Q594:$Q$1100="",0),0)-1),"")</f>
        <v/>
      </c>
      <c r="V589">
        <f>IF(AND(T589&lt;&gt;"",U589&lt;&gt;""),IF(U589-T589&lt;=0,"Falls Short",U589-T589),"")</f>
        <v/>
      </c>
      <c r="W589">
        <f>IF(AND(R589&lt;&gt;"",V589&lt;&gt;"Falls Short"),20*V589,"")</f>
        <v/>
      </c>
    </row>
    <row r="590">
      <c r="Q590">
        <f>LEFT(I590,9)</f>
        <v/>
      </c>
      <c r="R590">
        <f>TRIM(B590)</f>
        <v/>
      </c>
      <c r="S590">
        <f>COUNTIF($X$1:$X$9,R590) &gt; 0</f>
        <v/>
      </c>
      <c r="T590">
        <f>IF(AND(S590=FALSE,LEN(R590)&gt;2),4,IF(S590=TRUE,INDEX($Y$1:$Y$9,MATCH(R590,$X$1:$X$9,0)),""))</f>
        <v/>
      </c>
      <c r="U590">
        <f>IF(R590&lt;&gt;"",IF(Q595="",0,MATCH(TRUE,INDEX(Q595:$Q$1100="",0),0)-1),"")</f>
        <v/>
      </c>
      <c r="V590">
        <f>IF(AND(T590&lt;&gt;"",U590&lt;&gt;""),IF(U590-T590&lt;=0,"Falls Short",U590-T590),"")</f>
        <v/>
      </c>
      <c r="W590">
        <f>IF(AND(R590&lt;&gt;"",V590&lt;&gt;"Falls Short"),20*V590,"")</f>
        <v/>
      </c>
    </row>
    <row r="591">
      <c r="Q591">
        <f>LEFT(I591,9)</f>
        <v/>
      </c>
      <c r="R591">
        <f>TRIM(B591)</f>
        <v/>
      </c>
      <c r="S591">
        <f>COUNTIF($X$1:$X$9,R591) &gt; 0</f>
        <v/>
      </c>
      <c r="T591">
        <f>IF(AND(S591=FALSE,LEN(R591)&gt;2),4,IF(S591=TRUE,INDEX($Y$1:$Y$9,MATCH(R591,$X$1:$X$9,0)),""))</f>
        <v/>
      </c>
      <c r="U591">
        <f>IF(R591&lt;&gt;"",IF(Q596="",0,MATCH(TRUE,INDEX(Q596:$Q$1100="",0),0)-1),"")</f>
        <v/>
      </c>
      <c r="V591">
        <f>IF(AND(T591&lt;&gt;"",U591&lt;&gt;""),IF(U591-T591&lt;=0,"Falls Short",U591-T591),"")</f>
        <v/>
      </c>
      <c r="W591">
        <f>IF(AND(R591&lt;&gt;"",V591&lt;&gt;"Falls Short"),20*V591,"")</f>
        <v/>
      </c>
    </row>
    <row r="592">
      <c r="Q592">
        <f>LEFT(I592,9)</f>
        <v/>
      </c>
      <c r="R592">
        <f>TRIM(B592)</f>
        <v/>
      </c>
      <c r="S592">
        <f>COUNTIF($X$1:$X$9,R592) &gt; 0</f>
        <v/>
      </c>
      <c r="T592">
        <f>IF(AND(S592=FALSE,LEN(R592)&gt;2),4,IF(S592=TRUE,INDEX($Y$1:$Y$9,MATCH(R592,$X$1:$X$9,0)),""))</f>
        <v/>
      </c>
      <c r="U592">
        <f>IF(R592&lt;&gt;"",IF(Q597="",0,MATCH(TRUE,INDEX(Q597:$Q$1100="",0),0)-1),"")</f>
        <v/>
      </c>
      <c r="V592">
        <f>IF(AND(T592&lt;&gt;"",U592&lt;&gt;""),IF(U592-T592&lt;=0,"Falls Short",U592-T592),"")</f>
        <v/>
      </c>
      <c r="W592">
        <f>IF(AND(R592&lt;&gt;"",V592&lt;&gt;"Falls Short"),20*V592,"")</f>
        <v/>
      </c>
    </row>
    <row r="593">
      <c r="Q593">
        <f>LEFT(I593,9)</f>
        <v/>
      </c>
      <c r="R593">
        <f>TRIM(B593)</f>
        <v/>
      </c>
      <c r="S593">
        <f>COUNTIF($X$1:$X$9,R593) &gt; 0</f>
        <v/>
      </c>
      <c r="T593">
        <f>IF(AND(S593=FALSE,LEN(R593)&gt;2),4,IF(S593=TRUE,INDEX($Y$1:$Y$9,MATCH(R593,$X$1:$X$9,0)),""))</f>
        <v/>
      </c>
      <c r="U593">
        <f>IF(R593&lt;&gt;"",IF(Q598="",0,MATCH(TRUE,INDEX(Q598:$Q$1100="",0),0)-1),"")</f>
        <v/>
      </c>
      <c r="V593">
        <f>IF(AND(T593&lt;&gt;"",U593&lt;&gt;""),IF(U593-T593&lt;=0,"Falls Short",U593-T593),"")</f>
        <v/>
      </c>
      <c r="W593">
        <f>IF(AND(R593&lt;&gt;"",V593&lt;&gt;"Falls Short"),20*V593,"")</f>
        <v/>
      </c>
    </row>
    <row r="594">
      <c r="Q594">
        <f>LEFT(I594,9)</f>
        <v/>
      </c>
      <c r="R594">
        <f>TRIM(B594)</f>
        <v/>
      </c>
      <c r="S594">
        <f>COUNTIF($X$1:$X$9,R594) &gt; 0</f>
        <v/>
      </c>
      <c r="T594">
        <f>IF(AND(S594=FALSE,LEN(R594)&gt;2),4,IF(S594=TRUE,INDEX($Y$1:$Y$9,MATCH(R594,$X$1:$X$9,0)),""))</f>
        <v/>
      </c>
      <c r="U594">
        <f>IF(R594&lt;&gt;"",IF(Q599="",0,MATCH(TRUE,INDEX(Q599:$Q$1100="",0),0)-1),"")</f>
        <v/>
      </c>
      <c r="V594">
        <f>IF(AND(T594&lt;&gt;"",U594&lt;&gt;""),IF(U594-T594&lt;=0,"Falls Short",U594-T594),"")</f>
        <v/>
      </c>
      <c r="W594">
        <f>IF(AND(R594&lt;&gt;"",V594&lt;&gt;"Falls Short"),20*V594,"")</f>
        <v/>
      </c>
    </row>
    <row r="595">
      <c r="Q595">
        <f>LEFT(I595,9)</f>
        <v/>
      </c>
      <c r="R595">
        <f>TRIM(B595)</f>
        <v/>
      </c>
      <c r="S595">
        <f>COUNTIF($X$1:$X$9,R595) &gt; 0</f>
        <v/>
      </c>
      <c r="T595">
        <f>IF(AND(S595=FALSE,LEN(R595)&gt;2),4,IF(S595=TRUE,INDEX($Y$1:$Y$9,MATCH(R595,$X$1:$X$9,0)),""))</f>
        <v/>
      </c>
      <c r="U595">
        <f>IF(R595&lt;&gt;"",IF(Q600="",0,MATCH(TRUE,INDEX(Q600:$Q$1100="",0),0)-1),"")</f>
        <v/>
      </c>
      <c r="V595">
        <f>IF(AND(T595&lt;&gt;"",U595&lt;&gt;""),IF(U595-T595&lt;=0,"Falls Short",U595-T595),"")</f>
        <v/>
      </c>
      <c r="W595">
        <f>IF(AND(R595&lt;&gt;"",V595&lt;&gt;"Falls Short"),20*V595,"")</f>
        <v/>
      </c>
    </row>
    <row r="596">
      <c r="Q596">
        <f>LEFT(I596,9)</f>
        <v/>
      </c>
      <c r="R596">
        <f>TRIM(B596)</f>
        <v/>
      </c>
      <c r="S596">
        <f>COUNTIF($X$1:$X$9,R596) &gt; 0</f>
        <v/>
      </c>
      <c r="T596">
        <f>IF(AND(S596=FALSE,LEN(R596)&gt;2),4,IF(S596=TRUE,INDEX($Y$1:$Y$9,MATCH(R596,$X$1:$X$9,0)),""))</f>
        <v/>
      </c>
      <c r="U596">
        <f>IF(R596&lt;&gt;"",IF(Q601="",0,MATCH(TRUE,INDEX(Q601:$Q$1100="",0),0)-1),"")</f>
        <v/>
      </c>
      <c r="V596">
        <f>IF(AND(T596&lt;&gt;"",U596&lt;&gt;""),IF(U596-T596&lt;=0,"Falls Short",U596-T596),"")</f>
        <v/>
      </c>
      <c r="W596">
        <f>IF(AND(R596&lt;&gt;"",V596&lt;&gt;"Falls Short"),20*V596,"")</f>
        <v/>
      </c>
    </row>
    <row r="597">
      <c r="Q597">
        <f>LEFT(I597,9)</f>
        <v/>
      </c>
      <c r="R597">
        <f>TRIM(B597)</f>
        <v/>
      </c>
      <c r="S597">
        <f>COUNTIF($X$1:$X$9,R597) &gt; 0</f>
        <v/>
      </c>
      <c r="T597">
        <f>IF(AND(S597=FALSE,LEN(R597)&gt;2),4,IF(S597=TRUE,INDEX($Y$1:$Y$9,MATCH(R597,$X$1:$X$9,0)),""))</f>
        <v/>
      </c>
      <c r="U597">
        <f>IF(R597&lt;&gt;"",IF(Q602="",0,MATCH(TRUE,INDEX(Q602:$Q$1100="",0),0)-1),"")</f>
        <v/>
      </c>
      <c r="V597">
        <f>IF(AND(T597&lt;&gt;"",U597&lt;&gt;""),IF(U597-T597&lt;=0,"Falls Short",U597-T597),"")</f>
        <v/>
      </c>
      <c r="W597">
        <f>IF(AND(R597&lt;&gt;"",V597&lt;&gt;"Falls Short"),20*V597,"")</f>
        <v/>
      </c>
    </row>
    <row r="598">
      <c r="Q598">
        <f>LEFT(I598,9)</f>
        <v/>
      </c>
      <c r="R598">
        <f>TRIM(B598)</f>
        <v/>
      </c>
      <c r="S598">
        <f>COUNTIF($X$1:$X$9,R598) &gt; 0</f>
        <v/>
      </c>
      <c r="T598">
        <f>IF(AND(S598=FALSE,LEN(R598)&gt;2),4,IF(S598=TRUE,INDEX($Y$1:$Y$9,MATCH(R598,$X$1:$X$9,0)),""))</f>
        <v/>
      </c>
      <c r="U598">
        <f>IF(R598&lt;&gt;"",IF(Q603="",0,MATCH(TRUE,INDEX(Q603:$Q$1100="",0),0)-1),"")</f>
        <v/>
      </c>
      <c r="V598">
        <f>IF(AND(T598&lt;&gt;"",U598&lt;&gt;""),IF(U598-T598&lt;=0,"Falls Short",U598-T598),"")</f>
        <v/>
      </c>
      <c r="W598">
        <f>IF(AND(R598&lt;&gt;"",V598&lt;&gt;"Falls Short"),20*V598,"")</f>
        <v/>
      </c>
    </row>
    <row r="599">
      <c r="Q599">
        <f>LEFT(I599,9)</f>
        <v/>
      </c>
      <c r="R599">
        <f>TRIM(B599)</f>
        <v/>
      </c>
      <c r="S599">
        <f>COUNTIF($X$1:$X$9,R599) &gt; 0</f>
        <v/>
      </c>
      <c r="T599">
        <f>IF(AND(S599=FALSE,LEN(R599)&gt;2),4,IF(S599=TRUE,INDEX($Y$1:$Y$9,MATCH(R599,$X$1:$X$9,0)),""))</f>
        <v/>
      </c>
      <c r="U599">
        <f>IF(R599&lt;&gt;"",IF(Q604="",0,MATCH(TRUE,INDEX(Q604:$Q$1100="",0),0)-1),"")</f>
        <v/>
      </c>
      <c r="V599">
        <f>IF(AND(T599&lt;&gt;"",U599&lt;&gt;""),IF(U599-T599&lt;=0,"Falls Short",U599-T599),"")</f>
        <v/>
      </c>
      <c r="W599">
        <f>IF(AND(R599&lt;&gt;"",V599&lt;&gt;"Falls Short"),20*V599,"")</f>
        <v/>
      </c>
    </row>
    <row r="600">
      <c r="Q600">
        <f>LEFT(I600,9)</f>
        <v/>
      </c>
      <c r="R600">
        <f>TRIM(B600)</f>
        <v/>
      </c>
      <c r="S600">
        <f>COUNTIF($X$1:$X$9,R600) &gt; 0</f>
        <v/>
      </c>
      <c r="T600">
        <f>IF(AND(S600=FALSE,LEN(R600)&gt;2),4,IF(S600=TRUE,INDEX($Y$1:$Y$9,MATCH(R600,$X$1:$X$9,0)),""))</f>
        <v/>
      </c>
      <c r="U600">
        <f>IF(R600&lt;&gt;"",IF(Q605="",0,MATCH(TRUE,INDEX(Q605:$Q$1100="",0),0)-1),"")</f>
        <v/>
      </c>
      <c r="V600">
        <f>IF(AND(T600&lt;&gt;"",U600&lt;&gt;""),IF(U600-T600&lt;=0,"Falls Short",U600-T600),"")</f>
        <v/>
      </c>
      <c r="W600">
        <f>IF(AND(R600&lt;&gt;"",V600&lt;&gt;"Falls Short"),20*V600,"")</f>
        <v/>
      </c>
    </row>
    <row r="601">
      <c r="Q601">
        <f>LEFT(I601,9)</f>
        <v/>
      </c>
      <c r="R601">
        <f>TRIM(B601)</f>
        <v/>
      </c>
      <c r="S601">
        <f>COUNTIF($X$1:$X$9,R601) &gt; 0</f>
        <v/>
      </c>
      <c r="T601">
        <f>IF(AND(S601=FALSE,LEN(R601)&gt;2),4,IF(S601=TRUE,INDEX($Y$1:$Y$9,MATCH(R601,$X$1:$X$9,0)),""))</f>
        <v/>
      </c>
      <c r="U601">
        <f>IF(R601&lt;&gt;"",IF(Q606="",0,MATCH(TRUE,INDEX(Q606:$Q$1100="",0),0)-1),"")</f>
        <v/>
      </c>
      <c r="V601">
        <f>IF(AND(T601&lt;&gt;"",U601&lt;&gt;""),IF(U601-T601&lt;=0,"Falls Short",U601-T601),"")</f>
        <v/>
      </c>
      <c r="W601">
        <f>IF(AND(R601&lt;&gt;"",V601&lt;&gt;"Falls Short"),20*V601,"")</f>
        <v/>
      </c>
    </row>
    <row r="602">
      <c r="Q602">
        <f>LEFT(I602,9)</f>
        <v/>
      </c>
      <c r="R602">
        <f>TRIM(B602)</f>
        <v/>
      </c>
      <c r="S602">
        <f>COUNTIF($X$1:$X$9,R602) &gt; 0</f>
        <v/>
      </c>
      <c r="T602">
        <f>IF(AND(S602=FALSE,LEN(R602)&gt;2),4,IF(S602=TRUE,INDEX($Y$1:$Y$9,MATCH(R602,$X$1:$X$9,0)),""))</f>
        <v/>
      </c>
      <c r="U602">
        <f>IF(R602&lt;&gt;"",IF(Q607="",0,MATCH(TRUE,INDEX(Q607:$Q$1100="",0),0)-1),"")</f>
        <v/>
      </c>
      <c r="V602">
        <f>IF(AND(T602&lt;&gt;"",U602&lt;&gt;""),IF(U602-T602&lt;=0,"Falls Short",U602-T602),"")</f>
        <v/>
      </c>
      <c r="W602">
        <f>IF(AND(R602&lt;&gt;"",V602&lt;&gt;"Falls Short"),20*V602,"")</f>
        <v/>
      </c>
    </row>
    <row r="603">
      <c r="Q603">
        <f>LEFT(I603,9)</f>
        <v/>
      </c>
      <c r="R603">
        <f>TRIM(B603)</f>
        <v/>
      </c>
      <c r="S603">
        <f>COUNTIF($X$1:$X$9,R603) &gt; 0</f>
        <v/>
      </c>
      <c r="T603">
        <f>IF(AND(S603=FALSE,LEN(R603)&gt;2),4,IF(S603=TRUE,INDEX($Y$1:$Y$9,MATCH(R603,$X$1:$X$9,0)),""))</f>
        <v/>
      </c>
      <c r="U603">
        <f>IF(R603&lt;&gt;"",IF(Q608="",0,MATCH(TRUE,INDEX(Q608:$Q$1100="",0),0)-1),"")</f>
        <v/>
      </c>
      <c r="V603">
        <f>IF(AND(T603&lt;&gt;"",U603&lt;&gt;""),IF(U603-T603&lt;=0,"Falls Short",U603-T603),"")</f>
        <v/>
      </c>
      <c r="W603">
        <f>IF(AND(R603&lt;&gt;"",V603&lt;&gt;"Falls Short"),20*V603,"")</f>
        <v/>
      </c>
    </row>
    <row r="604">
      <c r="Q604">
        <f>LEFT(I604,9)</f>
        <v/>
      </c>
      <c r="R604">
        <f>TRIM(B604)</f>
        <v/>
      </c>
      <c r="S604">
        <f>COUNTIF($X$1:$X$9,R604) &gt; 0</f>
        <v/>
      </c>
      <c r="T604">
        <f>IF(AND(S604=FALSE,LEN(R604)&gt;2),4,IF(S604=TRUE,INDEX($Y$1:$Y$9,MATCH(R604,$X$1:$X$9,0)),""))</f>
        <v/>
      </c>
      <c r="U604">
        <f>IF(R604&lt;&gt;"",IF(Q609="",0,MATCH(TRUE,INDEX(Q609:$Q$1100="",0),0)-1),"")</f>
        <v/>
      </c>
      <c r="V604">
        <f>IF(AND(T604&lt;&gt;"",U604&lt;&gt;""),IF(U604-T604&lt;=0,"Falls Short",U604-T604),"")</f>
        <v/>
      </c>
      <c r="W604">
        <f>IF(AND(R604&lt;&gt;"",V604&lt;&gt;"Falls Short"),20*V604,"")</f>
        <v/>
      </c>
    </row>
    <row r="605">
      <c r="Q605">
        <f>LEFT(I605,9)</f>
        <v/>
      </c>
      <c r="R605">
        <f>TRIM(B605)</f>
        <v/>
      </c>
      <c r="S605">
        <f>COUNTIF($X$1:$X$9,R605) &gt; 0</f>
        <v/>
      </c>
      <c r="T605">
        <f>IF(AND(S605=FALSE,LEN(R605)&gt;2),4,IF(S605=TRUE,INDEX($Y$1:$Y$9,MATCH(R605,$X$1:$X$9,0)),""))</f>
        <v/>
      </c>
      <c r="U605">
        <f>IF(R605&lt;&gt;"",IF(Q610="",0,MATCH(TRUE,INDEX(Q610:$Q$1100="",0),0)-1),"")</f>
        <v/>
      </c>
      <c r="V605">
        <f>IF(AND(T605&lt;&gt;"",U605&lt;&gt;""),IF(U605-T605&lt;=0,"Falls Short",U605-T605),"")</f>
        <v/>
      </c>
      <c r="W605">
        <f>IF(AND(R605&lt;&gt;"",V605&lt;&gt;"Falls Short"),20*V605,"")</f>
        <v/>
      </c>
    </row>
    <row r="606">
      <c r="Q606">
        <f>LEFT(I606,9)</f>
        <v/>
      </c>
      <c r="R606">
        <f>TRIM(B606)</f>
        <v/>
      </c>
      <c r="S606">
        <f>COUNTIF($X$1:$X$9,R606) &gt; 0</f>
        <v/>
      </c>
      <c r="T606">
        <f>IF(AND(S606=FALSE,LEN(R606)&gt;2),4,IF(S606=TRUE,INDEX($Y$1:$Y$9,MATCH(R606,$X$1:$X$9,0)),""))</f>
        <v/>
      </c>
      <c r="U606">
        <f>IF(R606&lt;&gt;"",IF(Q611="",0,MATCH(TRUE,INDEX(Q611:$Q$1100="",0),0)-1),"")</f>
        <v/>
      </c>
      <c r="V606">
        <f>IF(AND(T606&lt;&gt;"",U606&lt;&gt;""),IF(U606-T606&lt;=0,"Falls Short",U606-T606),"")</f>
        <v/>
      </c>
      <c r="W606">
        <f>IF(AND(R606&lt;&gt;"",V606&lt;&gt;"Falls Short"),20*V606,"")</f>
        <v/>
      </c>
    </row>
    <row r="607">
      <c r="Q607">
        <f>LEFT(I607,9)</f>
        <v/>
      </c>
      <c r="R607">
        <f>TRIM(B607)</f>
        <v/>
      </c>
      <c r="S607">
        <f>COUNTIF($X$1:$X$9,R607) &gt; 0</f>
        <v/>
      </c>
      <c r="T607">
        <f>IF(AND(S607=FALSE,LEN(R607)&gt;2),4,IF(S607=TRUE,INDEX($Y$1:$Y$9,MATCH(R607,$X$1:$X$9,0)),""))</f>
        <v/>
      </c>
      <c r="U607">
        <f>IF(R607&lt;&gt;"",IF(Q612="",0,MATCH(TRUE,INDEX(Q612:$Q$1100="",0),0)-1),"")</f>
        <v/>
      </c>
      <c r="V607">
        <f>IF(AND(T607&lt;&gt;"",U607&lt;&gt;""),IF(U607-T607&lt;=0,"Falls Short",U607-T607),"")</f>
        <v/>
      </c>
      <c r="W607">
        <f>IF(AND(R607&lt;&gt;"",V607&lt;&gt;"Falls Short"),20*V607,"")</f>
        <v/>
      </c>
    </row>
    <row r="608">
      <c r="Q608">
        <f>LEFT(I608,9)</f>
        <v/>
      </c>
      <c r="R608">
        <f>TRIM(B608)</f>
        <v/>
      </c>
      <c r="S608">
        <f>COUNTIF($X$1:$X$9,R608) &gt; 0</f>
        <v/>
      </c>
      <c r="T608">
        <f>IF(AND(S608=FALSE,LEN(R608)&gt;2),4,IF(S608=TRUE,INDEX($Y$1:$Y$9,MATCH(R608,$X$1:$X$9,0)),""))</f>
        <v/>
      </c>
      <c r="U608">
        <f>IF(R608&lt;&gt;"",IF(Q613="",0,MATCH(TRUE,INDEX(Q613:$Q$1100="",0),0)-1),"")</f>
        <v/>
      </c>
      <c r="V608">
        <f>IF(AND(T608&lt;&gt;"",U608&lt;&gt;""),IF(U608-T608&lt;=0,"Falls Short",U608-T608),"")</f>
        <v/>
      </c>
      <c r="W608">
        <f>IF(AND(R608&lt;&gt;"",V608&lt;&gt;"Falls Short"),20*V608,"")</f>
        <v/>
      </c>
    </row>
    <row r="609">
      <c r="Q609">
        <f>LEFT(I609,9)</f>
        <v/>
      </c>
      <c r="R609">
        <f>TRIM(B609)</f>
        <v/>
      </c>
      <c r="S609">
        <f>COUNTIF($X$1:$X$9,R609) &gt; 0</f>
        <v/>
      </c>
      <c r="T609">
        <f>IF(AND(S609=FALSE,LEN(R609)&gt;2),4,IF(S609=TRUE,INDEX($Y$1:$Y$9,MATCH(R609,$X$1:$X$9,0)),""))</f>
        <v/>
      </c>
      <c r="U609">
        <f>IF(R609&lt;&gt;"",IF(Q614="",0,MATCH(TRUE,INDEX(Q614:$Q$1100="",0),0)-1),"")</f>
        <v/>
      </c>
      <c r="V609">
        <f>IF(AND(T609&lt;&gt;"",U609&lt;&gt;""),IF(U609-T609&lt;=0,"Falls Short",U609-T609),"")</f>
        <v/>
      </c>
      <c r="W609">
        <f>IF(AND(R609&lt;&gt;"",V609&lt;&gt;"Falls Short"),20*V609,"")</f>
        <v/>
      </c>
    </row>
    <row r="610">
      <c r="Q610">
        <f>LEFT(I610,9)</f>
        <v/>
      </c>
      <c r="R610">
        <f>TRIM(B610)</f>
        <v/>
      </c>
      <c r="S610">
        <f>COUNTIF($X$1:$X$9,R610) &gt; 0</f>
        <v/>
      </c>
      <c r="T610">
        <f>IF(AND(S610=FALSE,LEN(R610)&gt;2),4,IF(S610=TRUE,INDEX($Y$1:$Y$9,MATCH(R610,$X$1:$X$9,0)),""))</f>
        <v/>
      </c>
      <c r="U610">
        <f>IF(R610&lt;&gt;"",IF(Q615="",0,MATCH(TRUE,INDEX(Q615:$Q$1100="",0),0)-1),"")</f>
        <v/>
      </c>
      <c r="V610">
        <f>IF(AND(T610&lt;&gt;"",U610&lt;&gt;""),IF(U610-T610&lt;=0,"Falls Short",U610-T610),"")</f>
        <v/>
      </c>
      <c r="W610">
        <f>IF(AND(R610&lt;&gt;"",V610&lt;&gt;"Falls Short"),20*V610,"")</f>
        <v/>
      </c>
    </row>
    <row r="611">
      <c r="Q611">
        <f>LEFT(I611,9)</f>
        <v/>
      </c>
      <c r="R611">
        <f>TRIM(B611)</f>
        <v/>
      </c>
      <c r="S611">
        <f>COUNTIF($X$1:$X$9,R611) &gt; 0</f>
        <v/>
      </c>
      <c r="T611">
        <f>IF(AND(S611=FALSE,LEN(R611)&gt;2),4,IF(S611=TRUE,INDEX($Y$1:$Y$9,MATCH(R611,$X$1:$X$9,0)),""))</f>
        <v/>
      </c>
      <c r="U611">
        <f>IF(R611&lt;&gt;"",IF(Q616="",0,MATCH(TRUE,INDEX(Q616:$Q$1100="",0),0)-1),"")</f>
        <v/>
      </c>
      <c r="V611">
        <f>IF(AND(T611&lt;&gt;"",U611&lt;&gt;""),IF(U611-T611&lt;=0,"Falls Short",U611-T611),"")</f>
        <v/>
      </c>
      <c r="W611">
        <f>IF(AND(R611&lt;&gt;"",V611&lt;&gt;"Falls Short"),20*V611,"")</f>
        <v/>
      </c>
    </row>
    <row r="612">
      <c r="Q612">
        <f>LEFT(I612,9)</f>
        <v/>
      </c>
      <c r="R612">
        <f>TRIM(B612)</f>
        <v/>
      </c>
      <c r="S612">
        <f>COUNTIF($X$1:$X$9,R612) &gt; 0</f>
        <v/>
      </c>
      <c r="T612">
        <f>IF(AND(S612=FALSE,LEN(R612)&gt;2),4,IF(S612=TRUE,INDEX($Y$1:$Y$9,MATCH(R612,$X$1:$X$9,0)),""))</f>
        <v/>
      </c>
      <c r="U612">
        <f>IF(R612&lt;&gt;"",IF(Q617="",0,MATCH(TRUE,INDEX(Q617:$Q$1100="",0),0)-1),"")</f>
        <v/>
      </c>
      <c r="V612">
        <f>IF(AND(T612&lt;&gt;"",U612&lt;&gt;""),IF(U612-T612&lt;=0,"Falls Short",U612-T612),"")</f>
        <v/>
      </c>
      <c r="W612">
        <f>IF(AND(R612&lt;&gt;"",V612&lt;&gt;"Falls Short"),20*V612,"")</f>
        <v/>
      </c>
    </row>
    <row r="613">
      <c r="Q613">
        <f>LEFT(I613,9)</f>
        <v/>
      </c>
      <c r="R613">
        <f>TRIM(B613)</f>
        <v/>
      </c>
      <c r="S613">
        <f>COUNTIF($X$1:$X$9,R613) &gt; 0</f>
        <v/>
      </c>
      <c r="T613">
        <f>IF(AND(S613=FALSE,LEN(R613)&gt;2),4,IF(S613=TRUE,INDEX($Y$1:$Y$9,MATCH(R613,$X$1:$X$9,0)),""))</f>
        <v/>
      </c>
      <c r="U613">
        <f>IF(R613&lt;&gt;"",IF(Q618="",0,MATCH(TRUE,INDEX(Q618:$Q$1100="",0),0)-1),"")</f>
        <v/>
      </c>
      <c r="V613">
        <f>IF(AND(T613&lt;&gt;"",U613&lt;&gt;""),IF(U613-T613&lt;=0,"Falls Short",U613-T613),"")</f>
        <v/>
      </c>
      <c r="W613">
        <f>IF(AND(R613&lt;&gt;"",V613&lt;&gt;"Falls Short"),20*V613,"")</f>
        <v/>
      </c>
    </row>
    <row r="614">
      <c r="Q614">
        <f>LEFT(I614,9)</f>
        <v/>
      </c>
      <c r="R614">
        <f>TRIM(B614)</f>
        <v/>
      </c>
      <c r="S614">
        <f>COUNTIF($X$1:$X$9,R614) &gt; 0</f>
        <v/>
      </c>
      <c r="T614">
        <f>IF(AND(S614=FALSE,LEN(R614)&gt;2),4,IF(S614=TRUE,INDEX($Y$1:$Y$9,MATCH(R614,$X$1:$X$9,0)),""))</f>
        <v/>
      </c>
      <c r="U614">
        <f>IF(R614&lt;&gt;"",IF(Q619="",0,MATCH(TRUE,INDEX(Q619:$Q$1100="",0),0)-1),"")</f>
        <v/>
      </c>
      <c r="V614">
        <f>IF(AND(T614&lt;&gt;"",U614&lt;&gt;""),IF(U614-T614&lt;=0,"Falls Short",U614-T614),"")</f>
        <v/>
      </c>
      <c r="W614">
        <f>IF(AND(R614&lt;&gt;"",V614&lt;&gt;"Falls Short"),20*V614,"")</f>
        <v/>
      </c>
    </row>
    <row r="615">
      <c r="Q615">
        <f>LEFT(I615,9)</f>
        <v/>
      </c>
      <c r="R615">
        <f>TRIM(B615)</f>
        <v/>
      </c>
      <c r="S615">
        <f>COUNTIF($X$1:$X$9,R615) &gt; 0</f>
        <v/>
      </c>
      <c r="T615">
        <f>IF(AND(S615=FALSE,LEN(R615)&gt;2),4,IF(S615=TRUE,INDEX($Y$1:$Y$9,MATCH(R615,$X$1:$X$9,0)),""))</f>
        <v/>
      </c>
      <c r="U615">
        <f>IF(R615&lt;&gt;"",IF(Q620="",0,MATCH(TRUE,INDEX(Q620:$Q$1100="",0),0)-1),"")</f>
        <v/>
      </c>
      <c r="V615">
        <f>IF(AND(T615&lt;&gt;"",U615&lt;&gt;""),IF(U615-T615&lt;=0,"Falls Short",U615-T615),"")</f>
        <v/>
      </c>
      <c r="W615">
        <f>IF(AND(R615&lt;&gt;"",V615&lt;&gt;"Falls Short"),20*V615,"")</f>
        <v/>
      </c>
    </row>
    <row r="616">
      <c r="Q616">
        <f>LEFT(I616,9)</f>
        <v/>
      </c>
      <c r="R616">
        <f>TRIM(B616)</f>
        <v/>
      </c>
      <c r="S616">
        <f>COUNTIF($X$1:$X$9,R616) &gt; 0</f>
        <v/>
      </c>
      <c r="T616">
        <f>IF(AND(S616=FALSE,LEN(R616)&gt;2),4,IF(S616=TRUE,INDEX($Y$1:$Y$9,MATCH(R616,$X$1:$X$9,0)),""))</f>
        <v/>
      </c>
      <c r="U616">
        <f>IF(R616&lt;&gt;"",IF(Q621="",0,MATCH(TRUE,INDEX(Q621:$Q$1100="",0),0)-1),"")</f>
        <v/>
      </c>
      <c r="V616">
        <f>IF(AND(T616&lt;&gt;"",U616&lt;&gt;""),IF(U616-T616&lt;=0,"Falls Short",U616-T616),"")</f>
        <v/>
      </c>
      <c r="W616">
        <f>IF(AND(R616&lt;&gt;"",V616&lt;&gt;"Falls Short"),20*V616,"")</f>
        <v/>
      </c>
    </row>
    <row r="617">
      <c r="Q617">
        <f>LEFT(I617,9)</f>
        <v/>
      </c>
      <c r="R617">
        <f>TRIM(B617)</f>
        <v/>
      </c>
      <c r="S617">
        <f>COUNTIF($X$1:$X$9,R617) &gt; 0</f>
        <v/>
      </c>
      <c r="T617">
        <f>IF(AND(S617=FALSE,LEN(R617)&gt;2),4,IF(S617=TRUE,INDEX($Y$1:$Y$9,MATCH(R617,$X$1:$X$9,0)),""))</f>
        <v/>
      </c>
      <c r="U617">
        <f>IF(R617&lt;&gt;"",IF(Q622="",0,MATCH(TRUE,INDEX(Q622:$Q$1100="",0),0)-1),"")</f>
        <v/>
      </c>
      <c r="V617">
        <f>IF(AND(T617&lt;&gt;"",U617&lt;&gt;""),IF(U617-T617&lt;=0,"Falls Short",U617-T617),"")</f>
        <v/>
      </c>
      <c r="W617">
        <f>IF(AND(R617&lt;&gt;"",V617&lt;&gt;"Falls Short"),20*V617,"")</f>
        <v/>
      </c>
    </row>
    <row r="618">
      <c r="Q618">
        <f>LEFT(I618,9)</f>
        <v/>
      </c>
      <c r="R618">
        <f>TRIM(B618)</f>
        <v/>
      </c>
      <c r="S618">
        <f>COUNTIF($X$1:$X$9,R618) &gt; 0</f>
        <v/>
      </c>
      <c r="T618">
        <f>IF(AND(S618=FALSE,LEN(R618)&gt;2),4,IF(S618=TRUE,INDEX($Y$1:$Y$9,MATCH(R618,$X$1:$X$9,0)),""))</f>
        <v/>
      </c>
      <c r="U618">
        <f>IF(R618&lt;&gt;"",IF(Q623="",0,MATCH(TRUE,INDEX(Q623:$Q$1100="",0),0)-1),"")</f>
        <v/>
      </c>
      <c r="V618">
        <f>IF(AND(T618&lt;&gt;"",U618&lt;&gt;""),IF(U618-T618&lt;=0,"Falls Short",U618-T618),"")</f>
        <v/>
      </c>
      <c r="W618">
        <f>IF(AND(R618&lt;&gt;"",V618&lt;&gt;"Falls Short"),20*V618,"")</f>
        <v/>
      </c>
    </row>
    <row r="619">
      <c r="Q619">
        <f>LEFT(I619,9)</f>
        <v/>
      </c>
      <c r="R619">
        <f>TRIM(B619)</f>
        <v/>
      </c>
      <c r="S619">
        <f>COUNTIF($X$1:$X$9,R619) &gt; 0</f>
        <v/>
      </c>
      <c r="T619">
        <f>IF(AND(S619=FALSE,LEN(R619)&gt;2),4,IF(S619=TRUE,INDEX($Y$1:$Y$9,MATCH(R619,$X$1:$X$9,0)),""))</f>
        <v/>
      </c>
      <c r="U619">
        <f>IF(R619&lt;&gt;"",IF(Q624="",0,MATCH(TRUE,INDEX(Q624:$Q$1100="",0),0)-1),"")</f>
        <v/>
      </c>
      <c r="V619">
        <f>IF(AND(T619&lt;&gt;"",U619&lt;&gt;""),IF(U619-T619&lt;=0,"Falls Short",U619-T619),"")</f>
        <v/>
      </c>
      <c r="W619">
        <f>IF(AND(R619&lt;&gt;"",V619&lt;&gt;"Falls Short"),20*V619,"")</f>
        <v/>
      </c>
    </row>
    <row r="620">
      <c r="Q620">
        <f>LEFT(I620,9)</f>
        <v/>
      </c>
      <c r="R620">
        <f>TRIM(B620)</f>
        <v/>
      </c>
      <c r="S620">
        <f>COUNTIF($X$1:$X$9,R620) &gt; 0</f>
        <v/>
      </c>
      <c r="T620">
        <f>IF(AND(S620=FALSE,LEN(R620)&gt;2),4,IF(S620=TRUE,INDEX($Y$1:$Y$9,MATCH(R620,$X$1:$X$9,0)),""))</f>
        <v/>
      </c>
      <c r="U620">
        <f>IF(R620&lt;&gt;"",IF(Q625="",0,MATCH(TRUE,INDEX(Q625:$Q$1100="",0),0)-1),"")</f>
        <v/>
      </c>
      <c r="V620">
        <f>IF(AND(T620&lt;&gt;"",U620&lt;&gt;""),IF(U620-T620&lt;=0,"Falls Short",U620-T620),"")</f>
        <v/>
      </c>
      <c r="W620">
        <f>IF(AND(R620&lt;&gt;"",V620&lt;&gt;"Falls Short"),20*V620,"")</f>
        <v/>
      </c>
    </row>
    <row r="621">
      <c r="Q621">
        <f>LEFT(I621,9)</f>
        <v/>
      </c>
      <c r="R621">
        <f>TRIM(B621)</f>
        <v/>
      </c>
      <c r="S621">
        <f>COUNTIF($X$1:$X$9,R621) &gt; 0</f>
        <v/>
      </c>
      <c r="T621">
        <f>IF(AND(S621=FALSE,LEN(R621)&gt;2),4,IF(S621=TRUE,INDEX($Y$1:$Y$9,MATCH(R621,$X$1:$X$9,0)),""))</f>
        <v/>
      </c>
      <c r="U621">
        <f>IF(R621&lt;&gt;"",IF(Q626="",0,MATCH(TRUE,INDEX(Q626:$Q$1100="",0),0)-1),"")</f>
        <v/>
      </c>
      <c r="V621">
        <f>IF(AND(T621&lt;&gt;"",U621&lt;&gt;""),IF(U621-T621&lt;=0,"Falls Short",U621-T621),"")</f>
        <v/>
      </c>
      <c r="W621">
        <f>IF(AND(R621&lt;&gt;"",V621&lt;&gt;"Falls Short"),20*V621,"")</f>
        <v/>
      </c>
    </row>
    <row r="622">
      <c r="Q622">
        <f>LEFT(I622,9)</f>
        <v/>
      </c>
      <c r="R622">
        <f>TRIM(B622)</f>
        <v/>
      </c>
      <c r="S622">
        <f>COUNTIF($X$1:$X$9,R622) &gt; 0</f>
        <v/>
      </c>
      <c r="T622">
        <f>IF(AND(S622=FALSE,LEN(R622)&gt;2),4,IF(S622=TRUE,INDEX($Y$1:$Y$9,MATCH(R622,$X$1:$X$9,0)),""))</f>
        <v/>
      </c>
      <c r="U622">
        <f>IF(R622&lt;&gt;"",IF(Q627="",0,MATCH(TRUE,INDEX(Q627:$Q$1100="",0),0)-1),"")</f>
        <v/>
      </c>
      <c r="V622">
        <f>IF(AND(T622&lt;&gt;"",U622&lt;&gt;""),IF(U622-T622&lt;=0,"Falls Short",U622-T622),"")</f>
        <v/>
      </c>
      <c r="W622">
        <f>IF(AND(R622&lt;&gt;"",V622&lt;&gt;"Falls Short"),20*V622,"")</f>
        <v/>
      </c>
    </row>
    <row r="623">
      <c r="Q623">
        <f>LEFT(I623,9)</f>
        <v/>
      </c>
      <c r="R623">
        <f>TRIM(B623)</f>
        <v/>
      </c>
      <c r="S623">
        <f>COUNTIF($X$1:$X$9,R623) &gt; 0</f>
        <v/>
      </c>
      <c r="T623">
        <f>IF(AND(S623=FALSE,LEN(R623)&gt;2),4,IF(S623=TRUE,INDEX($Y$1:$Y$9,MATCH(R623,$X$1:$X$9,0)),""))</f>
        <v/>
      </c>
      <c r="U623">
        <f>IF(R623&lt;&gt;"",IF(Q628="",0,MATCH(TRUE,INDEX(Q628:$Q$1100="",0),0)-1),"")</f>
        <v/>
      </c>
      <c r="V623">
        <f>IF(AND(T623&lt;&gt;"",U623&lt;&gt;""),IF(U623-T623&lt;=0,"Falls Short",U623-T623),"")</f>
        <v/>
      </c>
      <c r="W623">
        <f>IF(AND(R623&lt;&gt;"",V623&lt;&gt;"Falls Short"),20*V623,"")</f>
        <v/>
      </c>
    </row>
    <row r="624">
      <c r="Q624">
        <f>LEFT(I624,9)</f>
        <v/>
      </c>
      <c r="R624">
        <f>TRIM(B624)</f>
        <v/>
      </c>
      <c r="S624">
        <f>COUNTIF($X$1:$X$9,R624) &gt; 0</f>
        <v/>
      </c>
      <c r="T624">
        <f>IF(AND(S624=FALSE,LEN(R624)&gt;2),4,IF(S624=TRUE,INDEX($Y$1:$Y$9,MATCH(R624,$X$1:$X$9,0)),""))</f>
        <v/>
      </c>
      <c r="U624">
        <f>IF(R624&lt;&gt;"",IF(Q629="",0,MATCH(TRUE,INDEX(Q629:$Q$1100="",0),0)-1),"")</f>
        <v/>
      </c>
      <c r="V624">
        <f>IF(AND(T624&lt;&gt;"",U624&lt;&gt;""),IF(U624-T624&lt;=0,"Falls Short",U624-T624),"")</f>
        <v/>
      </c>
      <c r="W624">
        <f>IF(AND(R624&lt;&gt;"",V624&lt;&gt;"Falls Short"),20*V624,"")</f>
        <v/>
      </c>
    </row>
    <row r="625">
      <c r="Q625">
        <f>LEFT(I625,9)</f>
        <v/>
      </c>
      <c r="R625">
        <f>TRIM(B625)</f>
        <v/>
      </c>
      <c r="S625">
        <f>COUNTIF($X$1:$X$9,R625) &gt; 0</f>
        <v/>
      </c>
      <c r="T625">
        <f>IF(AND(S625=FALSE,LEN(R625)&gt;2),4,IF(S625=TRUE,INDEX($Y$1:$Y$9,MATCH(R625,$X$1:$X$9,0)),""))</f>
        <v/>
      </c>
      <c r="U625">
        <f>IF(R625&lt;&gt;"",IF(Q630="",0,MATCH(TRUE,INDEX(Q630:$Q$1100="",0),0)-1),"")</f>
        <v/>
      </c>
      <c r="V625">
        <f>IF(AND(T625&lt;&gt;"",U625&lt;&gt;""),IF(U625-T625&lt;=0,"Falls Short",U625-T625),"")</f>
        <v/>
      </c>
      <c r="W625">
        <f>IF(AND(R625&lt;&gt;"",V625&lt;&gt;"Falls Short"),20*V625,"")</f>
        <v/>
      </c>
    </row>
    <row r="626">
      <c r="Q626">
        <f>LEFT(I626,9)</f>
        <v/>
      </c>
      <c r="R626">
        <f>TRIM(B626)</f>
        <v/>
      </c>
      <c r="S626">
        <f>COUNTIF($X$1:$X$9,R626) &gt; 0</f>
        <v/>
      </c>
      <c r="T626">
        <f>IF(AND(S626=FALSE,LEN(R626)&gt;2),4,IF(S626=TRUE,INDEX($Y$1:$Y$9,MATCH(R626,$X$1:$X$9,0)),""))</f>
        <v/>
      </c>
      <c r="U626">
        <f>IF(R626&lt;&gt;"",IF(Q631="",0,MATCH(TRUE,INDEX(Q631:$Q$1100="",0),0)-1),"")</f>
        <v/>
      </c>
      <c r="V626">
        <f>IF(AND(T626&lt;&gt;"",U626&lt;&gt;""),IF(U626-T626&lt;=0,"Falls Short",U626-T626),"")</f>
        <v/>
      </c>
      <c r="W626">
        <f>IF(AND(R626&lt;&gt;"",V626&lt;&gt;"Falls Short"),20*V626,"")</f>
        <v/>
      </c>
    </row>
    <row r="627">
      <c r="Q627">
        <f>LEFT(I627,9)</f>
        <v/>
      </c>
      <c r="R627">
        <f>TRIM(B627)</f>
        <v/>
      </c>
      <c r="S627">
        <f>COUNTIF($X$1:$X$9,R627) &gt; 0</f>
        <v/>
      </c>
      <c r="T627">
        <f>IF(AND(S627=FALSE,LEN(R627)&gt;2),4,IF(S627=TRUE,INDEX($Y$1:$Y$9,MATCH(R627,$X$1:$X$9,0)),""))</f>
        <v/>
      </c>
      <c r="U627">
        <f>IF(R627&lt;&gt;"",IF(Q632="",0,MATCH(TRUE,INDEX(Q632:$Q$1100="",0),0)-1),"")</f>
        <v/>
      </c>
      <c r="V627">
        <f>IF(AND(T627&lt;&gt;"",U627&lt;&gt;""),IF(U627-T627&lt;=0,"Falls Short",U627-T627),"")</f>
        <v/>
      </c>
      <c r="W627">
        <f>IF(AND(R627&lt;&gt;"",V627&lt;&gt;"Falls Short"),20*V627,"")</f>
        <v/>
      </c>
    </row>
    <row r="628">
      <c r="Q628">
        <f>LEFT(I628,9)</f>
        <v/>
      </c>
      <c r="R628">
        <f>TRIM(B628)</f>
        <v/>
      </c>
      <c r="S628">
        <f>COUNTIF($X$1:$X$9,R628) &gt; 0</f>
        <v/>
      </c>
      <c r="T628">
        <f>IF(AND(S628=FALSE,LEN(R628)&gt;2),4,IF(S628=TRUE,INDEX($Y$1:$Y$9,MATCH(R628,$X$1:$X$9,0)),""))</f>
        <v/>
      </c>
      <c r="U628">
        <f>IF(R628&lt;&gt;"",IF(Q633="",0,MATCH(TRUE,INDEX(Q633:$Q$1100="",0),0)-1),"")</f>
        <v/>
      </c>
      <c r="V628">
        <f>IF(AND(T628&lt;&gt;"",U628&lt;&gt;""),IF(U628-T628&lt;=0,"Falls Short",U628-T628),"")</f>
        <v/>
      </c>
      <c r="W628">
        <f>IF(AND(R628&lt;&gt;"",V628&lt;&gt;"Falls Short"),20*V628,"")</f>
        <v/>
      </c>
    </row>
    <row r="629">
      <c r="Q629">
        <f>LEFT(I629,9)</f>
        <v/>
      </c>
      <c r="R629">
        <f>TRIM(B629)</f>
        <v/>
      </c>
      <c r="S629">
        <f>COUNTIF($X$1:$X$9,R629) &gt; 0</f>
        <v/>
      </c>
      <c r="T629">
        <f>IF(AND(S629=FALSE,LEN(R629)&gt;2),4,IF(S629=TRUE,INDEX($Y$1:$Y$9,MATCH(R629,$X$1:$X$9,0)),""))</f>
        <v/>
      </c>
      <c r="U629">
        <f>IF(R629&lt;&gt;"",IF(Q634="",0,MATCH(TRUE,INDEX(Q634:$Q$1100="",0),0)-1),"")</f>
        <v/>
      </c>
      <c r="V629">
        <f>IF(AND(T629&lt;&gt;"",U629&lt;&gt;""),IF(U629-T629&lt;=0,"Falls Short",U629-T629),"")</f>
        <v/>
      </c>
      <c r="W629">
        <f>IF(AND(R629&lt;&gt;"",V629&lt;&gt;"Falls Short"),20*V629,"")</f>
        <v/>
      </c>
    </row>
    <row r="630">
      <c r="Q630">
        <f>LEFT(I630,9)</f>
        <v/>
      </c>
      <c r="R630">
        <f>TRIM(B630)</f>
        <v/>
      </c>
      <c r="S630">
        <f>COUNTIF($X$1:$X$9,R630) &gt; 0</f>
        <v/>
      </c>
      <c r="T630">
        <f>IF(AND(S630=FALSE,LEN(R630)&gt;2),4,IF(S630=TRUE,INDEX($Y$1:$Y$9,MATCH(R630,$X$1:$X$9,0)),""))</f>
        <v/>
      </c>
      <c r="U630">
        <f>IF(R630&lt;&gt;"",IF(Q635="",0,MATCH(TRUE,INDEX(Q635:$Q$1100="",0),0)-1),"")</f>
        <v/>
      </c>
      <c r="V630">
        <f>IF(AND(T630&lt;&gt;"",U630&lt;&gt;""),IF(U630-T630&lt;=0,"Falls Short",U630-T630),"")</f>
        <v/>
      </c>
      <c r="W630">
        <f>IF(AND(R630&lt;&gt;"",V630&lt;&gt;"Falls Short"),20*V630,"")</f>
        <v/>
      </c>
    </row>
    <row r="631">
      <c r="Q631">
        <f>LEFT(I631,9)</f>
        <v/>
      </c>
      <c r="R631">
        <f>TRIM(B631)</f>
        <v/>
      </c>
      <c r="S631">
        <f>COUNTIF($X$1:$X$9,R631) &gt; 0</f>
        <v/>
      </c>
      <c r="T631">
        <f>IF(AND(S631=FALSE,LEN(R631)&gt;2),4,IF(S631=TRUE,INDEX($Y$1:$Y$9,MATCH(R631,$X$1:$X$9,0)),""))</f>
        <v/>
      </c>
      <c r="U631">
        <f>IF(R631&lt;&gt;"",IF(Q636="",0,MATCH(TRUE,INDEX(Q636:$Q$1100="",0),0)-1),"")</f>
        <v/>
      </c>
      <c r="V631">
        <f>IF(AND(T631&lt;&gt;"",U631&lt;&gt;""),IF(U631-T631&lt;=0,"Falls Short",U631-T631),"")</f>
        <v/>
      </c>
      <c r="W631">
        <f>IF(AND(R631&lt;&gt;"",V631&lt;&gt;"Falls Short"),20*V631,"")</f>
        <v/>
      </c>
    </row>
    <row r="632">
      <c r="Q632">
        <f>LEFT(I632,9)</f>
        <v/>
      </c>
      <c r="R632">
        <f>TRIM(B632)</f>
        <v/>
      </c>
      <c r="S632">
        <f>COUNTIF($X$1:$X$9,R632) &gt; 0</f>
        <v/>
      </c>
      <c r="T632">
        <f>IF(AND(S632=FALSE,LEN(R632)&gt;2),4,IF(S632=TRUE,INDEX($Y$1:$Y$9,MATCH(R632,$X$1:$X$9,0)),""))</f>
        <v/>
      </c>
      <c r="U632">
        <f>IF(R632&lt;&gt;"",IF(Q637="",0,MATCH(TRUE,INDEX(Q637:$Q$1100="",0),0)-1),"")</f>
        <v/>
      </c>
      <c r="V632">
        <f>IF(AND(T632&lt;&gt;"",U632&lt;&gt;""),IF(U632-T632&lt;=0,"Falls Short",U632-T632),"")</f>
        <v/>
      </c>
      <c r="W632">
        <f>IF(AND(R632&lt;&gt;"",V632&lt;&gt;"Falls Short"),20*V632,"")</f>
        <v/>
      </c>
    </row>
    <row r="633">
      <c r="Q633">
        <f>LEFT(I633,9)</f>
        <v/>
      </c>
      <c r="R633">
        <f>TRIM(B633)</f>
        <v/>
      </c>
      <c r="S633">
        <f>COUNTIF($X$1:$X$9,R633) &gt; 0</f>
        <v/>
      </c>
      <c r="T633">
        <f>IF(AND(S633=FALSE,LEN(R633)&gt;2),4,IF(S633=TRUE,INDEX($Y$1:$Y$9,MATCH(R633,$X$1:$X$9,0)),""))</f>
        <v/>
      </c>
      <c r="U633">
        <f>IF(R633&lt;&gt;"",IF(Q638="",0,MATCH(TRUE,INDEX(Q638:$Q$1100="",0),0)-1),"")</f>
        <v/>
      </c>
      <c r="V633">
        <f>IF(AND(T633&lt;&gt;"",U633&lt;&gt;""),IF(U633-T633&lt;=0,"Falls Short",U633-T633),"")</f>
        <v/>
      </c>
      <c r="W633">
        <f>IF(AND(R633&lt;&gt;"",V633&lt;&gt;"Falls Short"),20*V633,"")</f>
        <v/>
      </c>
    </row>
    <row r="634">
      <c r="Q634">
        <f>LEFT(I634,9)</f>
        <v/>
      </c>
      <c r="R634">
        <f>TRIM(B634)</f>
        <v/>
      </c>
      <c r="S634">
        <f>COUNTIF($X$1:$X$9,R634) &gt; 0</f>
        <v/>
      </c>
      <c r="T634">
        <f>IF(AND(S634=FALSE,LEN(R634)&gt;2),4,IF(S634=TRUE,INDEX($Y$1:$Y$9,MATCH(R634,$X$1:$X$9,0)),""))</f>
        <v/>
      </c>
      <c r="U634">
        <f>IF(R634&lt;&gt;"",IF(Q639="",0,MATCH(TRUE,INDEX(Q639:$Q$1100="",0),0)-1),"")</f>
        <v/>
      </c>
      <c r="V634">
        <f>IF(AND(T634&lt;&gt;"",U634&lt;&gt;""),IF(U634-T634&lt;=0,"Falls Short",U634-T634),"")</f>
        <v/>
      </c>
      <c r="W634">
        <f>IF(AND(R634&lt;&gt;"",V634&lt;&gt;"Falls Short"),20*V634,"")</f>
        <v/>
      </c>
    </row>
    <row r="635">
      <c r="Q635">
        <f>LEFT(I635,9)</f>
        <v/>
      </c>
      <c r="R635">
        <f>TRIM(B635)</f>
        <v/>
      </c>
      <c r="S635">
        <f>COUNTIF($X$1:$X$9,R635) &gt; 0</f>
        <v/>
      </c>
      <c r="T635">
        <f>IF(AND(S635=FALSE,LEN(R635)&gt;2),4,IF(S635=TRUE,INDEX($Y$1:$Y$9,MATCH(R635,$X$1:$X$9,0)),""))</f>
        <v/>
      </c>
      <c r="U635">
        <f>IF(R635&lt;&gt;"",IF(Q640="",0,MATCH(TRUE,INDEX(Q640:$Q$1100="",0),0)-1),"")</f>
        <v/>
      </c>
      <c r="V635">
        <f>IF(AND(T635&lt;&gt;"",U635&lt;&gt;""),IF(U635-T635&lt;=0,"Falls Short",U635-T635),"")</f>
        <v/>
      </c>
      <c r="W635">
        <f>IF(AND(R635&lt;&gt;"",V635&lt;&gt;"Falls Short"),20*V635,"")</f>
        <v/>
      </c>
    </row>
    <row r="636">
      <c r="Q636">
        <f>LEFT(I636,9)</f>
        <v/>
      </c>
      <c r="R636">
        <f>TRIM(B636)</f>
        <v/>
      </c>
      <c r="S636">
        <f>COUNTIF($X$1:$X$9,R636) &gt; 0</f>
        <v/>
      </c>
      <c r="T636">
        <f>IF(AND(S636=FALSE,LEN(R636)&gt;2),4,IF(S636=TRUE,INDEX($Y$1:$Y$9,MATCH(R636,$X$1:$X$9,0)),""))</f>
        <v/>
      </c>
      <c r="U636">
        <f>IF(R636&lt;&gt;"",IF(Q641="",0,MATCH(TRUE,INDEX(Q641:$Q$1100="",0),0)-1),"")</f>
        <v/>
      </c>
      <c r="V636">
        <f>IF(AND(T636&lt;&gt;"",U636&lt;&gt;""),IF(U636-T636&lt;=0,"Falls Short",U636-T636),"")</f>
        <v/>
      </c>
      <c r="W636">
        <f>IF(AND(R636&lt;&gt;"",V636&lt;&gt;"Falls Short"),20*V636,"")</f>
        <v/>
      </c>
    </row>
    <row r="637">
      <c r="Q637">
        <f>LEFT(I637,9)</f>
        <v/>
      </c>
      <c r="R637">
        <f>TRIM(B637)</f>
        <v/>
      </c>
      <c r="S637">
        <f>COUNTIF($X$1:$X$9,R637) &gt; 0</f>
        <v/>
      </c>
      <c r="T637">
        <f>IF(AND(S637=FALSE,LEN(R637)&gt;2),4,IF(S637=TRUE,INDEX($Y$1:$Y$9,MATCH(R637,$X$1:$X$9,0)),""))</f>
        <v/>
      </c>
      <c r="U637">
        <f>IF(R637&lt;&gt;"",IF(Q642="",0,MATCH(TRUE,INDEX(Q642:$Q$1100="",0),0)-1),"")</f>
        <v/>
      </c>
      <c r="V637">
        <f>IF(AND(T637&lt;&gt;"",U637&lt;&gt;""),IF(U637-T637&lt;=0,"Falls Short",U637-T637),"")</f>
        <v/>
      </c>
      <c r="W637">
        <f>IF(AND(R637&lt;&gt;"",V637&lt;&gt;"Falls Short"),20*V637,"")</f>
        <v/>
      </c>
    </row>
    <row r="638">
      <c r="Q638">
        <f>LEFT(I638,9)</f>
        <v/>
      </c>
      <c r="R638">
        <f>TRIM(B638)</f>
        <v/>
      </c>
      <c r="S638">
        <f>COUNTIF($X$1:$X$9,R638) &gt; 0</f>
        <v/>
      </c>
      <c r="T638">
        <f>IF(AND(S638=FALSE,LEN(R638)&gt;2),4,IF(S638=TRUE,INDEX($Y$1:$Y$9,MATCH(R638,$X$1:$X$9,0)),""))</f>
        <v/>
      </c>
      <c r="U638">
        <f>IF(R638&lt;&gt;"",IF(Q643="",0,MATCH(TRUE,INDEX(Q643:$Q$1100="",0),0)-1),"")</f>
        <v/>
      </c>
      <c r="V638">
        <f>IF(AND(T638&lt;&gt;"",U638&lt;&gt;""),IF(U638-T638&lt;=0,"Falls Short",U638-T638),"")</f>
        <v/>
      </c>
      <c r="W638">
        <f>IF(AND(R638&lt;&gt;"",V638&lt;&gt;"Falls Short"),20*V638,"")</f>
        <v/>
      </c>
    </row>
    <row r="639">
      <c r="Q639">
        <f>LEFT(I639,9)</f>
        <v/>
      </c>
      <c r="R639">
        <f>TRIM(B639)</f>
        <v/>
      </c>
      <c r="S639">
        <f>COUNTIF($X$1:$X$9,R639) &gt; 0</f>
        <v/>
      </c>
      <c r="T639">
        <f>IF(AND(S639=FALSE,LEN(R639)&gt;2),4,IF(S639=TRUE,INDEX($Y$1:$Y$9,MATCH(R639,$X$1:$X$9,0)),""))</f>
        <v/>
      </c>
      <c r="U639">
        <f>IF(R639&lt;&gt;"",IF(Q644="",0,MATCH(TRUE,INDEX(Q644:$Q$1100="",0),0)-1),"")</f>
        <v/>
      </c>
      <c r="V639">
        <f>IF(AND(T639&lt;&gt;"",U639&lt;&gt;""),IF(U639-T639&lt;=0,"Falls Short",U639-T639),"")</f>
        <v/>
      </c>
      <c r="W639">
        <f>IF(AND(R639&lt;&gt;"",V639&lt;&gt;"Falls Short"),20*V639,"")</f>
        <v/>
      </c>
    </row>
    <row r="640">
      <c r="Q640">
        <f>LEFT(I640,9)</f>
        <v/>
      </c>
      <c r="R640">
        <f>TRIM(B640)</f>
        <v/>
      </c>
      <c r="S640">
        <f>COUNTIF($X$1:$X$9,R640) &gt; 0</f>
        <v/>
      </c>
      <c r="T640">
        <f>IF(AND(S640=FALSE,LEN(R640)&gt;2),4,IF(S640=TRUE,INDEX($Y$1:$Y$9,MATCH(R640,$X$1:$X$9,0)),""))</f>
        <v/>
      </c>
      <c r="U640">
        <f>IF(R640&lt;&gt;"",IF(Q645="",0,MATCH(TRUE,INDEX(Q645:$Q$1100="",0),0)-1),"")</f>
        <v/>
      </c>
      <c r="V640">
        <f>IF(AND(T640&lt;&gt;"",U640&lt;&gt;""),IF(U640-T640&lt;=0,"Falls Short",U640-T640),"")</f>
        <v/>
      </c>
      <c r="W640">
        <f>IF(AND(R640&lt;&gt;"",V640&lt;&gt;"Falls Short"),20*V640,"")</f>
        <v/>
      </c>
    </row>
    <row r="641">
      <c r="Q641">
        <f>LEFT(I641,9)</f>
        <v/>
      </c>
      <c r="R641">
        <f>TRIM(B641)</f>
        <v/>
      </c>
      <c r="S641">
        <f>COUNTIF($X$1:$X$9,R641) &gt; 0</f>
        <v/>
      </c>
      <c r="T641">
        <f>IF(AND(S641=FALSE,LEN(R641)&gt;2),4,IF(S641=TRUE,INDEX($Y$1:$Y$9,MATCH(R641,$X$1:$X$9,0)),""))</f>
        <v/>
      </c>
      <c r="U641">
        <f>IF(R641&lt;&gt;"",IF(Q646="",0,MATCH(TRUE,INDEX(Q646:$Q$1100="",0),0)-1),"")</f>
        <v/>
      </c>
      <c r="V641">
        <f>IF(AND(T641&lt;&gt;"",U641&lt;&gt;""),IF(U641-T641&lt;=0,"Falls Short",U641-T641),"")</f>
        <v/>
      </c>
      <c r="W641">
        <f>IF(AND(R641&lt;&gt;"",V641&lt;&gt;"Falls Short"),20*V641,"")</f>
        <v/>
      </c>
    </row>
    <row r="642">
      <c r="Q642">
        <f>LEFT(I642,9)</f>
        <v/>
      </c>
      <c r="R642">
        <f>TRIM(B642)</f>
        <v/>
      </c>
      <c r="S642">
        <f>COUNTIF($X$1:$X$9,R642) &gt; 0</f>
        <v/>
      </c>
      <c r="T642">
        <f>IF(AND(S642=FALSE,LEN(R642)&gt;2),4,IF(S642=TRUE,INDEX($Y$1:$Y$9,MATCH(R642,$X$1:$X$9,0)),""))</f>
        <v/>
      </c>
      <c r="U642">
        <f>IF(R642&lt;&gt;"",IF(Q647="",0,MATCH(TRUE,INDEX(Q647:$Q$1100="",0),0)-1),"")</f>
        <v/>
      </c>
      <c r="V642">
        <f>IF(AND(T642&lt;&gt;"",U642&lt;&gt;""),IF(U642-T642&lt;=0,"Falls Short",U642-T642),"")</f>
        <v/>
      </c>
      <c r="W642">
        <f>IF(AND(R642&lt;&gt;"",V642&lt;&gt;"Falls Short"),20*V642,"")</f>
        <v/>
      </c>
    </row>
    <row r="643">
      <c r="Q643">
        <f>LEFT(I643,9)</f>
        <v/>
      </c>
      <c r="R643">
        <f>TRIM(B643)</f>
        <v/>
      </c>
      <c r="S643">
        <f>COUNTIF($X$1:$X$9,R643) &gt; 0</f>
        <v/>
      </c>
      <c r="T643">
        <f>IF(AND(S643=FALSE,LEN(R643)&gt;2),4,IF(S643=TRUE,INDEX($Y$1:$Y$9,MATCH(R643,$X$1:$X$9,0)),""))</f>
        <v/>
      </c>
      <c r="U643">
        <f>IF(R643&lt;&gt;"",IF(Q648="",0,MATCH(TRUE,INDEX(Q648:$Q$1100="",0),0)-1),"")</f>
        <v/>
      </c>
      <c r="V643">
        <f>IF(AND(T643&lt;&gt;"",U643&lt;&gt;""),IF(U643-T643&lt;=0,"Falls Short",U643-T643),"")</f>
        <v/>
      </c>
      <c r="W643">
        <f>IF(AND(R643&lt;&gt;"",V643&lt;&gt;"Falls Short"),20*V643,"")</f>
        <v/>
      </c>
    </row>
    <row r="644">
      <c r="Q644">
        <f>LEFT(I644,9)</f>
        <v/>
      </c>
      <c r="R644">
        <f>TRIM(B644)</f>
        <v/>
      </c>
      <c r="S644">
        <f>COUNTIF($X$1:$X$9,R644) &gt; 0</f>
        <v/>
      </c>
      <c r="T644">
        <f>IF(AND(S644=FALSE,LEN(R644)&gt;2),4,IF(S644=TRUE,INDEX($Y$1:$Y$9,MATCH(R644,$X$1:$X$9,0)),""))</f>
        <v/>
      </c>
      <c r="U644">
        <f>IF(R644&lt;&gt;"",IF(Q649="",0,MATCH(TRUE,INDEX(Q649:$Q$1100="",0),0)-1),"")</f>
        <v/>
      </c>
      <c r="V644">
        <f>IF(AND(T644&lt;&gt;"",U644&lt;&gt;""),IF(U644-T644&lt;=0,"Falls Short",U644-T644),"")</f>
        <v/>
      </c>
      <c r="W644">
        <f>IF(AND(R644&lt;&gt;"",V644&lt;&gt;"Falls Short"),20*V644,"")</f>
        <v/>
      </c>
    </row>
    <row r="645">
      <c r="Q645">
        <f>LEFT(I645,9)</f>
        <v/>
      </c>
      <c r="R645">
        <f>TRIM(B645)</f>
        <v/>
      </c>
      <c r="S645">
        <f>COUNTIF($X$1:$X$9,R645) &gt; 0</f>
        <v/>
      </c>
      <c r="T645">
        <f>IF(AND(S645=FALSE,LEN(R645)&gt;2),4,IF(S645=TRUE,INDEX($Y$1:$Y$9,MATCH(R645,$X$1:$X$9,0)),""))</f>
        <v/>
      </c>
      <c r="U645">
        <f>IF(R645&lt;&gt;"",IF(Q650="",0,MATCH(TRUE,INDEX(Q650:$Q$1100="",0),0)-1),"")</f>
        <v/>
      </c>
      <c r="V645">
        <f>IF(AND(T645&lt;&gt;"",U645&lt;&gt;""),IF(U645-T645&lt;=0,"Falls Short",U645-T645),"")</f>
        <v/>
      </c>
      <c r="W645">
        <f>IF(AND(R645&lt;&gt;"",V645&lt;&gt;"Falls Short"),20*V645,"")</f>
        <v/>
      </c>
    </row>
    <row r="646">
      <c r="Q646">
        <f>LEFT(I646,9)</f>
        <v/>
      </c>
      <c r="R646">
        <f>TRIM(B646)</f>
        <v/>
      </c>
      <c r="S646">
        <f>COUNTIF($X$1:$X$9,R646) &gt; 0</f>
        <v/>
      </c>
      <c r="T646">
        <f>IF(AND(S646=FALSE,LEN(R646)&gt;2),4,IF(S646=TRUE,INDEX($Y$1:$Y$9,MATCH(R646,$X$1:$X$9,0)),""))</f>
        <v/>
      </c>
      <c r="U646">
        <f>IF(R646&lt;&gt;"",IF(Q651="",0,MATCH(TRUE,INDEX(Q651:$Q$1100="",0),0)-1),"")</f>
        <v/>
      </c>
      <c r="V646">
        <f>IF(AND(T646&lt;&gt;"",U646&lt;&gt;""),IF(U646-T646&lt;=0,"Falls Short",U646-T646),"")</f>
        <v/>
      </c>
      <c r="W646">
        <f>IF(AND(R646&lt;&gt;"",V646&lt;&gt;"Falls Short"),20*V646,"")</f>
        <v/>
      </c>
    </row>
    <row r="647">
      <c r="Q647">
        <f>LEFT(I647,9)</f>
        <v/>
      </c>
      <c r="R647">
        <f>TRIM(B647)</f>
        <v/>
      </c>
      <c r="S647">
        <f>COUNTIF($X$1:$X$9,R647) &gt; 0</f>
        <v/>
      </c>
      <c r="T647">
        <f>IF(AND(S647=FALSE,LEN(R647)&gt;2),4,IF(S647=TRUE,INDEX($Y$1:$Y$9,MATCH(R647,$X$1:$X$9,0)),""))</f>
        <v/>
      </c>
      <c r="U647">
        <f>IF(R647&lt;&gt;"",IF(Q652="",0,MATCH(TRUE,INDEX(Q652:$Q$1100="",0),0)-1),"")</f>
        <v/>
      </c>
      <c r="V647">
        <f>IF(AND(T647&lt;&gt;"",U647&lt;&gt;""),IF(U647-T647&lt;=0,"Falls Short",U647-T647),"")</f>
        <v/>
      </c>
      <c r="W647">
        <f>IF(AND(R647&lt;&gt;"",V647&lt;&gt;"Falls Short"),20*V647,"")</f>
        <v/>
      </c>
    </row>
    <row r="648">
      <c r="Q648">
        <f>LEFT(I648,9)</f>
        <v/>
      </c>
      <c r="R648">
        <f>TRIM(B648)</f>
        <v/>
      </c>
      <c r="S648">
        <f>COUNTIF($X$1:$X$9,R648) &gt; 0</f>
        <v/>
      </c>
      <c r="T648">
        <f>IF(AND(S648=FALSE,LEN(R648)&gt;2),4,IF(S648=TRUE,INDEX($Y$1:$Y$9,MATCH(R648,$X$1:$X$9,0)),""))</f>
        <v/>
      </c>
      <c r="U648">
        <f>IF(R648&lt;&gt;"",IF(Q653="",0,MATCH(TRUE,INDEX(Q653:$Q$1100="",0),0)-1),"")</f>
        <v/>
      </c>
      <c r="V648">
        <f>IF(AND(T648&lt;&gt;"",U648&lt;&gt;""),IF(U648-T648&lt;=0,"Falls Short",U648-T648),"")</f>
        <v/>
      </c>
      <c r="W648">
        <f>IF(AND(R648&lt;&gt;"",V648&lt;&gt;"Falls Short"),20*V648,"")</f>
        <v/>
      </c>
    </row>
    <row r="649">
      <c r="Q649">
        <f>LEFT(I649,9)</f>
        <v/>
      </c>
      <c r="R649">
        <f>TRIM(B649)</f>
        <v/>
      </c>
      <c r="S649">
        <f>COUNTIF($X$1:$X$9,R649) &gt; 0</f>
        <v/>
      </c>
      <c r="T649">
        <f>IF(AND(S649=FALSE,LEN(R649)&gt;2),4,IF(S649=TRUE,INDEX($Y$1:$Y$9,MATCH(R649,$X$1:$X$9,0)),""))</f>
        <v/>
      </c>
      <c r="U649">
        <f>IF(R649&lt;&gt;"",IF(Q654="",0,MATCH(TRUE,INDEX(Q654:$Q$1100="",0),0)-1),"")</f>
        <v/>
      </c>
      <c r="V649">
        <f>IF(AND(T649&lt;&gt;"",U649&lt;&gt;""),IF(U649-T649&lt;=0,"Falls Short",U649-T649),"")</f>
        <v/>
      </c>
      <c r="W649">
        <f>IF(AND(R649&lt;&gt;"",V649&lt;&gt;"Falls Short"),20*V649,"")</f>
        <v/>
      </c>
    </row>
    <row r="650">
      <c r="Q650">
        <f>LEFT(I650,9)</f>
        <v/>
      </c>
      <c r="R650">
        <f>TRIM(B650)</f>
        <v/>
      </c>
      <c r="S650">
        <f>COUNTIF($X$1:$X$9,R650) &gt; 0</f>
        <v/>
      </c>
      <c r="T650">
        <f>IF(AND(S650=FALSE,LEN(R650)&gt;2),4,IF(S650=TRUE,INDEX($Y$1:$Y$9,MATCH(R650,$X$1:$X$9,0)),""))</f>
        <v/>
      </c>
      <c r="U650">
        <f>IF(R650&lt;&gt;"",IF(Q655="",0,MATCH(TRUE,INDEX(Q655:$Q$1100="",0),0)-1),"")</f>
        <v/>
      </c>
      <c r="V650">
        <f>IF(AND(T650&lt;&gt;"",U650&lt;&gt;""),IF(U650-T650&lt;=0,"Falls Short",U650-T650),"")</f>
        <v/>
      </c>
      <c r="W650">
        <f>IF(AND(R650&lt;&gt;"",V650&lt;&gt;"Falls Short"),20*V650,"")</f>
        <v/>
      </c>
    </row>
    <row r="651">
      <c r="Q651">
        <f>LEFT(I651,9)</f>
        <v/>
      </c>
      <c r="R651">
        <f>TRIM(B651)</f>
        <v/>
      </c>
      <c r="S651">
        <f>COUNTIF($X$1:$X$9,R651) &gt; 0</f>
        <v/>
      </c>
      <c r="T651">
        <f>IF(AND(S651=FALSE,LEN(R651)&gt;2),4,IF(S651=TRUE,INDEX($Y$1:$Y$9,MATCH(R651,$X$1:$X$9,0)),""))</f>
        <v/>
      </c>
      <c r="U651">
        <f>IF(R651&lt;&gt;"",IF(Q656="",0,MATCH(TRUE,INDEX(Q656:$Q$1100="",0),0)-1),"")</f>
        <v/>
      </c>
      <c r="V651">
        <f>IF(AND(T651&lt;&gt;"",U651&lt;&gt;""),IF(U651-T651&lt;=0,"Falls Short",U651-T651),"")</f>
        <v/>
      </c>
      <c r="W651">
        <f>IF(AND(R651&lt;&gt;"",V651&lt;&gt;"Falls Short"),20*V651,"")</f>
        <v/>
      </c>
    </row>
    <row r="652">
      <c r="Q652">
        <f>LEFT(I652,9)</f>
        <v/>
      </c>
      <c r="R652">
        <f>TRIM(B652)</f>
        <v/>
      </c>
      <c r="S652">
        <f>COUNTIF($X$1:$X$9,R652) &gt; 0</f>
        <v/>
      </c>
      <c r="T652">
        <f>IF(AND(S652=FALSE,LEN(R652)&gt;2),4,IF(S652=TRUE,INDEX($Y$1:$Y$9,MATCH(R652,$X$1:$X$9,0)),""))</f>
        <v/>
      </c>
      <c r="U652">
        <f>IF(R652&lt;&gt;"",IF(Q657="",0,MATCH(TRUE,INDEX(Q657:$Q$1100="",0),0)-1),"")</f>
        <v/>
      </c>
      <c r="V652">
        <f>IF(AND(T652&lt;&gt;"",U652&lt;&gt;""),IF(U652-T652&lt;=0,"Falls Short",U652-T652),"")</f>
        <v/>
      </c>
      <c r="W652">
        <f>IF(AND(R652&lt;&gt;"",V652&lt;&gt;"Falls Short"),20*V652,"")</f>
        <v/>
      </c>
    </row>
    <row r="653">
      <c r="Q653">
        <f>LEFT(I653,9)</f>
        <v/>
      </c>
      <c r="R653">
        <f>TRIM(B653)</f>
        <v/>
      </c>
      <c r="S653">
        <f>COUNTIF($X$1:$X$9,R653) &gt; 0</f>
        <v/>
      </c>
      <c r="T653">
        <f>IF(AND(S653=FALSE,LEN(R653)&gt;2),4,IF(S653=TRUE,INDEX($Y$1:$Y$9,MATCH(R653,$X$1:$X$9,0)),""))</f>
        <v/>
      </c>
      <c r="U653">
        <f>IF(R653&lt;&gt;"",IF(Q658="",0,MATCH(TRUE,INDEX(Q658:$Q$1100="",0),0)-1),"")</f>
        <v/>
      </c>
      <c r="V653">
        <f>IF(AND(T653&lt;&gt;"",U653&lt;&gt;""),IF(U653-T653&lt;=0,"Falls Short",U653-T653),"")</f>
        <v/>
      </c>
      <c r="W653">
        <f>IF(AND(R653&lt;&gt;"",V653&lt;&gt;"Falls Short"),20*V653,"")</f>
        <v/>
      </c>
    </row>
    <row r="654">
      <c r="Q654">
        <f>LEFT(I654,9)</f>
        <v/>
      </c>
      <c r="R654">
        <f>TRIM(B654)</f>
        <v/>
      </c>
      <c r="S654">
        <f>COUNTIF($X$1:$X$9,R654) &gt; 0</f>
        <v/>
      </c>
      <c r="T654">
        <f>IF(AND(S654=FALSE,LEN(R654)&gt;2),4,IF(S654=TRUE,INDEX($Y$1:$Y$9,MATCH(R654,$X$1:$X$9,0)),""))</f>
        <v/>
      </c>
      <c r="U654">
        <f>IF(R654&lt;&gt;"",IF(Q659="",0,MATCH(TRUE,INDEX(Q659:$Q$1100="",0),0)-1),"")</f>
        <v/>
      </c>
      <c r="V654">
        <f>IF(AND(T654&lt;&gt;"",U654&lt;&gt;""),IF(U654-T654&lt;=0,"Falls Short",U654-T654),"")</f>
        <v/>
      </c>
      <c r="W654">
        <f>IF(AND(R654&lt;&gt;"",V654&lt;&gt;"Falls Short"),20*V654,"")</f>
        <v/>
      </c>
    </row>
    <row r="655">
      <c r="Q655">
        <f>LEFT(I655,9)</f>
        <v/>
      </c>
      <c r="R655">
        <f>TRIM(B655)</f>
        <v/>
      </c>
      <c r="S655">
        <f>COUNTIF($X$1:$X$9,R655) &gt; 0</f>
        <v/>
      </c>
      <c r="T655">
        <f>IF(AND(S655=FALSE,LEN(R655)&gt;2),4,IF(S655=TRUE,INDEX($Y$1:$Y$9,MATCH(R655,$X$1:$X$9,0)),""))</f>
        <v/>
      </c>
      <c r="U655">
        <f>IF(R655&lt;&gt;"",IF(Q660="",0,MATCH(TRUE,INDEX(Q660:$Q$1100="",0),0)-1),"")</f>
        <v/>
      </c>
      <c r="V655">
        <f>IF(AND(T655&lt;&gt;"",U655&lt;&gt;""),IF(U655-T655&lt;=0,"Falls Short",U655-T655),"")</f>
        <v/>
      </c>
      <c r="W655">
        <f>IF(AND(R655&lt;&gt;"",V655&lt;&gt;"Falls Short"),20*V655,"")</f>
        <v/>
      </c>
    </row>
    <row r="656">
      <c r="Q656">
        <f>LEFT(I656,9)</f>
        <v/>
      </c>
      <c r="R656">
        <f>TRIM(B656)</f>
        <v/>
      </c>
      <c r="S656">
        <f>COUNTIF($X$1:$X$9,R656) &gt; 0</f>
        <v/>
      </c>
      <c r="T656">
        <f>IF(AND(S656=FALSE,LEN(R656)&gt;2),4,IF(S656=TRUE,INDEX($Y$1:$Y$9,MATCH(R656,$X$1:$X$9,0)),""))</f>
        <v/>
      </c>
      <c r="U656">
        <f>IF(R656&lt;&gt;"",IF(Q661="",0,MATCH(TRUE,INDEX(Q661:$Q$1100="",0),0)-1),"")</f>
        <v/>
      </c>
      <c r="V656">
        <f>IF(AND(T656&lt;&gt;"",U656&lt;&gt;""),IF(U656-T656&lt;=0,"Falls Short",U656-T656),"")</f>
        <v/>
      </c>
      <c r="W656">
        <f>IF(AND(R656&lt;&gt;"",V656&lt;&gt;"Falls Short"),20*V656,"")</f>
        <v/>
      </c>
    </row>
    <row r="657">
      <c r="Q657">
        <f>LEFT(I657,9)</f>
        <v/>
      </c>
      <c r="R657">
        <f>TRIM(B657)</f>
        <v/>
      </c>
      <c r="S657">
        <f>COUNTIF($X$1:$X$9,R657) &gt; 0</f>
        <v/>
      </c>
      <c r="T657">
        <f>IF(AND(S657=FALSE,LEN(R657)&gt;2),4,IF(S657=TRUE,INDEX($Y$1:$Y$9,MATCH(R657,$X$1:$X$9,0)),""))</f>
        <v/>
      </c>
      <c r="U657">
        <f>IF(R657&lt;&gt;"",IF(Q662="",0,MATCH(TRUE,INDEX(Q662:$Q$1100="",0),0)-1),"")</f>
        <v/>
      </c>
      <c r="V657">
        <f>IF(AND(T657&lt;&gt;"",U657&lt;&gt;""),IF(U657-T657&lt;=0,"Falls Short",U657-T657),"")</f>
        <v/>
      </c>
      <c r="W657">
        <f>IF(AND(R657&lt;&gt;"",V657&lt;&gt;"Falls Short"),20*V657,"")</f>
        <v/>
      </c>
    </row>
    <row r="658">
      <c r="Q658">
        <f>LEFT(I658,9)</f>
        <v/>
      </c>
      <c r="R658">
        <f>TRIM(B658)</f>
        <v/>
      </c>
      <c r="S658">
        <f>COUNTIF($X$1:$X$9,R658) &gt; 0</f>
        <v/>
      </c>
      <c r="T658">
        <f>IF(AND(S658=FALSE,LEN(R658)&gt;2),4,IF(S658=TRUE,INDEX($Y$1:$Y$9,MATCH(R658,$X$1:$X$9,0)),""))</f>
        <v/>
      </c>
      <c r="U658">
        <f>IF(R658&lt;&gt;"",IF(Q663="",0,MATCH(TRUE,INDEX(Q663:$Q$1100="",0),0)-1),"")</f>
        <v/>
      </c>
      <c r="V658">
        <f>IF(AND(T658&lt;&gt;"",U658&lt;&gt;""),IF(U658-T658&lt;=0,"Falls Short",U658-T658),"")</f>
        <v/>
      </c>
      <c r="W658">
        <f>IF(AND(R658&lt;&gt;"",V658&lt;&gt;"Falls Short"),20*V658,"")</f>
        <v/>
      </c>
    </row>
    <row r="659">
      <c r="Q659">
        <f>LEFT(I659,9)</f>
        <v/>
      </c>
      <c r="R659">
        <f>TRIM(B659)</f>
        <v/>
      </c>
      <c r="S659">
        <f>COUNTIF($X$1:$X$9,R659) &gt; 0</f>
        <v/>
      </c>
      <c r="T659">
        <f>IF(AND(S659=FALSE,LEN(R659)&gt;2),4,IF(S659=TRUE,INDEX($Y$1:$Y$9,MATCH(R659,$X$1:$X$9,0)),""))</f>
        <v/>
      </c>
      <c r="U659">
        <f>IF(R659&lt;&gt;"",IF(Q664="",0,MATCH(TRUE,INDEX(Q664:$Q$1100="",0),0)-1),"")</f>
        <v/>
      </c>
      <c r="V659">
        <f>IF(AND(T659&lt;&gt;"",U659&lt;&gt;""),IF(U659-T659&lt;=0,"Falls Short",U659-T659),"")</f>
        <v/>
      </c>
      <c r="W659">
        <f>IF(AND(R659&lt;&gt;"",V659&lt;&gt;"Falls Short"),20*V659,"")</f>
        <v/>
      </c>
    </row>
    <row r="660">
      <c r="Q660">
        <f>LEFT(I660,9)</f>
        <v/>
      </c>
      <c r="R660">
        <f>TRIM(B660)</f>
        <v/>
      </c>
      <c r="S660">
        <f>COUNTIF($X$1:$X$9,R660) &gt; 0</f>
        <v/>
      </c>
      <c r="T660">
        <f>IF(AND(S660=FALSE,LEN(R660)&gt;2),4,IF(S660=TRUE,INDEX($Y$1:$Y$9,MATCH(R660,$X$1:$X$9,0)),""))</f>
        <v/>
      </c>
      <c r="U660">
        <f>IF(R660&lt;&gt;"",IF(Q665="",0,MATCH(TRUE,INDEX(Q665:$Q$1100="",0),0)-1),"")</f>
        <v/>
      </c>
      <c r="V660">
        <f>IF(AND(T660&lt;&gt;"",U660&lt;&gt;""),IF(U660-T660&lt;=0,"Falls Short",U660-T660),"")</f>
        <v/>
      </c>
      <c r="W660">
        <f>IF(AND(R660&lt;&gt;"",V660&lt;&gt;"Falls Short"),20*V660,"")</f>
        <v/>
      </c>
    </row>
    <row r="661">
      <c r="Q661">
        <f>LEFT(I661,9)</f>
        <v/>
      </c>
      <c r="R661">
        <f>TRIM(B661)</f>
        <v/>
      </c>
      <c r="S661">
        <f>COUNTIF($X$1:$X$9,R661) &gt; 0</f>
        <v/>
      </c>
      <c r="T661">
        <f>IF(AND(S661=FALSE,LEN(R661)&gt;2),4,IF(S661=TRUE,INDEX($Y$1:$Y$9,MATCH(R661,$X$1:$X$9,0)),""))</f>
        <v/>
      </c>
      <c r="U661">
        <f>IF(R661&lt;&gt;"",IF(Q666="",0,MATCH(TRUE,INDEX(Q666:$Q$1100="",0),0)-1),"")</f>
        <v/>
      </c>
      <c r="V661">
        <f>IF(AND(T661&lt;&gt;"",U661&lt;&gt;""),IF(U661-T661&lt;=0,"Falls Short",U661-T661),"")</f>
        <v/>
      </c>
      <c r="W661">
        <f>IF(AND(R661&lt;&gt;"",V661&lt;&gt;"Falls Short"),20*V661,"")</f>
        <v/>
      </c>
    </row>
    <row r="662">
      <c r="Q662">
        <f>LEFT(I662,9)</f>
        <v/>
      </c>
      <c r="R662">
        <f>TRIM(B662)</f>
        <v/>
      </c>
      <c r="S662">
        <f>COUNTIF($X$1:$X$9,R662) &gt; 0</f>
        <v/>
      </c>
      <c r="T662">
        <f>IF(AND(S662=FALSE,LEN(R662)&gt;2),4,IF(S662=TRUE,INDEX($Y$1:$Y$9,MATCH(R662,$X$1:$X$9,0)),""))</f>
        <v/>
      </c>
      <c r="U662">
        <f>IF(R662&lt;&gt;"",IF(Q667="",0,MATCH(TRUE,INDEX(Q667:$Q$1100="",0),0)-1),"")</f>
        <v/>
      </c>
      <c r="V662">
        <f>IF(AND(T662&lt;&gt;"",U662&lt;&gt;""),IF(U662-T662&lt;=0,"Falls Short",U662-T662),"")</f>
        <v/>
      </c>
      <c r="W662">
        <f>IF(AND(R662&lt;&gt;"",V662&lt;&gt;"Falls Short"),20*V662,"")</f>
        <v/>
      </c>
    </row>
    <row r="663">
      <c r="Q663">
        <f>LEFT(I663,9)</f>
        <v/>
      </c>
      <c r="R663">
        <f>TRIM(B663)</f>
        <v/>
      </c>
      <c r="S663">
        <f>COUNTIF($X$1:$X$9,R663) &gt; 0</f>
        <v/>
      </c>
      <c r="T663">
        <f>IF(AND(S663=FALSE,LEN(R663)&gt;2),4,IF(S663=TRUE,INDEX($Y$1:$Y$9,MATCH(R663,$X$1:$X$9,0)),""))</f>
        <v/>
      </c>
      <c r="U663">
        <f>IF(R663&lt;&gt;"",IF(Q668="",0,MATCH(TRUE,INDEX(Q668:$Q$1100="",0),0)-1),"")</f>
        <v/>
      </c>
      <c r="V663">
        <f>IF(AND(T663&lt;&gt;"",U663&lt;&gt;""),IF(U663-T663&lt;=0,"Falls Short",U663-T663),"")</f>
        <v/>
      </c>
      <c r="W663">
        <f>IF(AND(R663&lt;&gt;"",V663&lt;&gt;"Falls Short"),20*V663,"")</f>
        <v/>
      </c>
    </row>
    <row r="664">
      <c r="Q664">
        <f>LEFT(I664,9)</f>
        <v/>
      </c>
      <c r="R664">
        <f>TRIM(B664)</f>
        <v/>
      </c>
      <c r="S664">
        <f>COUNTIF($X$1:$X$9,R664) &gt; 0</f>
        <v/>
      </c>
      <c r="T664">
        <f>IF(AND(S664=FALSE,LEN(R664)&gt;2),4,IF(S664=TRUE,INDEX($Y$1:$Y$9,MATCH(R664,$X$1:$X$9,0)),""))</f>
        <v/>
      </c>
      <c r="U664">
        <f>IF(R664&lt;&gt;"",IF(Q669="",0,MATCH(TRUE,INDEX(Q669:$Q$1100="",0),0)-1),"")</f>
        <v/>
      </c>
      <c r="V664">
        <f>IF(AND(T664&lt;&gt;"",U664&lt;&gt;""),IF(U664-T664&lt;=0,"Falls Short",U664-T664),"")</f>
        <v/>
      </c>
      <c r="W664">
        <f>IF(AND(R664&lt;&gt;"",V664&lt;&gt;"Falls Short"),20*V664,"")</f>
        <v/>
      </c>
    </row>
    <row r="665">
      <c r="Q665">
        <f>LEFT(I665,9)</f>
        <v/>
      </c>
      <c r="R665">
        <f>TRIM(B665)</f>
        <v/>
      </c>
      <c r="S665">
        <f>COUNTIF($X$1:$X$9,R665) &gt; 0</f>
        <v/>
      </c>
      <c r="T665">
        <f>IF(AND(S665=FALSE,LEN(R665)&gt;2),4,IF(S665=TRUE,INDEX($Y$1:$Y$9,MATCH(R665,$X$1:$X$9,0)),""))</f>
        <v/>
      </c>
      <c r="U665">
        <f>IF(R665&lt;&gt;"",IF(Q670="",0,MATCH(TRUE,INDEX(Q670:$Q$1100="",0),0)-1),"")</f>
        <v/>
      </c>
      <c r="V665">
        <f>IF(AND(T665&lt;&gt;"",U665&lt;&gt;""),IF(U665-T665&lt;=0,"Falls Short",U665-T665),"")</f>
        <v/>
      </c>
      <c r="W665">
        <f>IF(AND(R665&lt;&gt;"",V665&lt;&gt;"Falls Short"),20*V665,"")</f>
        <v/>
      </c>
    </row>
    <row r="666">
      <c r="Q666">
        <f>LEFT(I666,9)</f>
        <v/>
      </c>
      <c r="R666">
        <f>TRIM(B666)</f>
        <v/>
      </c>
      <c r="S666">
        <f>COUNTIF($X$1:$X$9,R666) &gt; 0</f>
        <v/>
      </c>
      <c r="T666">
        <f>IF(AND(S666=FALSE,LEN(R666)&gt;2),4,IF(S666=TRUE,INDEX($Y$1:$Y$9,MATCH(R666,$X$1:$X$9,0)),""))</f>
        <v/>
      </c>
      <c r="U666">
        <f>IF(R666&lt;&gt;"",IF(Q671="",0,MATCH(TRUE,INDEX(Q671:$Q$1100="",0),0)-1),"")</f>
        <v/>
      </c>
      <c r="V666">
        <f>IF(AND(T666&lt;&gt;"",U666&lt;&gt;""),IF(U666-T666&lt;=0,"Falls Short",U666-T666),"")</f>
        <v/>
      </c>
      <c r="W666">
        <f>IF(AND(R666&lt;&gt;"",V666&lt;&gt;"Falls Short"),20*V666,"")</f>
        <v/>
      </c>
    </row>
    <row r="667">
      <c r="Q667">
        <f>LEFT(I667,9)</f>
        <v/>
      </c>
      <c r="R667">
        <f>TRIM(B667)</f>
        <v/>
      </c>
      <c r="S667">
        <f>COUNTIF($X$1:$X$9,R667) &gt; 0</f>
        <v/>
      </c>
      <c r="T667">
        <f>IF(AND(S667=FALSE,LEN(R667)&gt;2),4,IF(S667=TRUE,INDEX($Y$1:$Y$9,MATCH(R667,$X$1:$X$9,0)),""))</f>
        <v/>
      </c>
      <c r="U667">
        <f>IF(R667&lt;&gt;"",IF(Q672="",0,MATCH(TRUE,INDEX(Q672:$Q$1100="",0),0)-1),"")</f>
        <v/>
      </c>
      <c r="V667">
        <f>IF(AND(T667&lt;&gt;"",U667&lt;&gt;""),IF(U667-T667&lt;=0,"Falls Short",U667-T667),"")</f>
        <v/>
      </c>
      <c r="W667">
        <f>IF(AND(R667&lt;&gt;"",V667&lt;&gt;"Falls Short"),20*V667,"")</f>
        <v/>
      </c>
    </row>
    <row r="668">
      <c r="Q668">
        <f>LEFT(I668,9)</f>
        <v/>
      </c>
      <c r="R668">
        <f>TRIM(B668)</f>
        <v/>
      </c>
      <c r="S668">
        <f>COUNTIF($X$1:$X$9,R668) &gt; 0</f>
        <v/>
      </c>
      <c r="T668">
        <f>IF(AND(S668=FALSE,LEN(R668)&gt;2),4,IF(S668=TRUE,INDEX($Y$1:$Y$9,MATCH(R668,$X$1:$X$9,0)),""))</f>
        <v/>
      </c>
      <c r="U668">
        <f>IF(R668&lt;&gt;"",IF(Q673="",0,MATCH(TRUE,INDEX(Q673:$Q$1100="",0),0)-1),"")</f>
        <v/>
      </c>
      <c r="V668">
        <f>IF(AND(T668&lt;&gt;"",U668&lt;&gt;""),IF(U668-T668&lt;=0,"Falls Short",U668-T668),"")</f>
        <v/>
      </c>
      <c r="W668">
        <f>IF(AND(R668&lt;&gt;"",V668&lt;&gt;"Falls Short"),20*V668,"")</f>
        <v/>
      </c>
    </row>
    <row r="669">
      <c r="Q669">
        <f>LEFT(I669,9)</f>
        <v/>
      </c>
      <c r="R669">
        <f>TRIM(B669)</f>
        <v/>
      </c>
      <c r="S669">
        <f>COUNTIF($X$1:$X$9,R669) &gt; 0</f>
        <v/>
      </c>
      <c r="T669">
        <f>IF(AND(S669=FALSE,LEN(R669)&gt;2),4,IF(S669=TRUE,INDEX($Y$1:$Y$9,MATCH(R669,$X$1:$X$9,0)),""))</f>
        <v/>
      </c>
      <c r="U669">
        <f>IF(R669&lt;&gt;"",IF(Q674="",0,MATCH(TRUE,INDEX(Q674:$Q$1100="",0),0)-1),"")</f>
        <v/>
      </c>
      <c r="V669">
        <f>IF(AND(T669&lt;&gt;"",U669&lt;&gt;""),IF(U669-T669&lt;=0,"Falls Short",U669-T669),"")</f>
        <v/>
      </c>
      <c r="W669">
        <f>IF(AND(R669&lt;&gt;"",V669&lt;&gt;"Falls Short"),20*V669,"")</f>
        <v/>
      </c>
    </row>
    <row r="670">
      <c r="Q670">
        <f>LEFT(I670,9)</f>
        <v/>
      </c>
      <c r="R670">
        <f>TRIM(B670)</f>
        <v/>
      </c>
      <c r="S670">
        <f>COUNTIF($X$1:$X$9,R670) &gt; 0</f>
        <v/>
      </c>
      <c r="T670">
        <f>IF(AND(S670=FALSE,LEN(R670)&gt;2),4,IF(S670=TRUE,INDEX($Y$1:$Y$9,MATCH(R670,$X$1:$X$9,0)),""))</f>
        <v/>
      </c>
      <c r="U670">
        <f>IF(R670&lt;&gt;"",IF(Q675="",0,MATCH(TRUE,INDEX(Q675:$Q$1100="",0),0)-1),"")</f>
        <v/>
      </c>
      <c r="V670">
        <f>IF(AND(T670&lt;&gt;"",U670&lt;&gt;""),IF(U670-T670&lt;=0,"Falls Short",U670-T670),"")</f>
        <v/>
      </c>
      <c r="W670">
        <f>IF(AND(R670&lt;&gt;"",V670&lt;&gt;"Falls Short"),20*V670,"")</f>
        <v/>
      </c>
    </row>
    <row r="671">
      <c r="Q671">
        <f>LEFT(I671,9)</f>
        <v/>
      </c>
      <c r="R671">
        <f>TRIM(B671)</f>
        <v/>
      </c>
      <c r="S671">
        <f>COUNTIF($X$1:$X$9,R671) &gt; 0</f>
        <v/>
      </c>
      <c r="T671">
        <f>IF(AND(S671=FALSE,LEN(R671)&gt;2),4,IF(S671=TRUE,INDEX($Y$1:$Y$9,MATCH(R671,$X$1:$X$9,0)),""))</f>
        <v/>
      </c>
      <c r="U671">
        <f>IF(R671&lt;&gt;"",IF(Q676="",0,MATCH(TRUE,INDEX(Q676:$Q$1100="",0),0)-1),"")</f>
        <v/>
      </c>
      <c r="V671">
        <f>IF(AND(T671&lt;&gt;"",U671&lt;&gt;""),IF(U671-T671&lt;=0,"Falls Short",U671-T671),"")</f>
        <v/>
      </c>
      <c r="W671">
        <f>IF(AND(R671&lt;&gt;"",V671&lt;&gt;"Falls Short"),20*V671,"")</f>
        <v/>
      </c>
    </row>
    <row r="672">
      <c r="Q672">
        <f>LEFT(I672,9)</f>
        <v/>
      </c>
      <c r="R672">
        <f>TRIM(B672)</f>
        <v/>
      </c>
      <c r="S672">
        <f>COUNTIF($X$1:$X$9,R672) &gt; 0</f>
        <v/>
      </c>
      <c r="T672">
        <f>IF(AND(S672=FALSE,LEN(R672)&gt;2),4,IF(S672=TRUE,INDEX($Y$1:$Y$9,MATCH(R672,$X$1:$X$9,0)),""))</f>
        <v/>
      </c>
      <c r="U672">
        <f>IF(R672&lt;&gt;"",IF(Q677="",0,MATCH(TRUE,INDEX(Q677:$Q$1100="",0),0)-1),"")</f>
        <v/>
      </c>
      <c r="V672">
        <f>IF(AND(T672&lt;&gt;"",U672&lt;&gt;""),IF(U672-T672&lt;=0,"Falls Short",U672-T672),"")</f>
        <v/>
      </c>
      <c r="W672">
        <f>IF(AND(R672&lt;&gt;"",V672&lt;&gt;"Falls Short"),20*V672,"")</f>
        <v/>
      </c>
    </row>
    <row r="673">
      <c r="Q673">
        <f>LEFT(I673,9)</f>
        <v/>
      </c>
      <c r="R673">
        <f>TRIM(B673)</f>
        <v/>
      </c>
      <c r="S673">
        <f>COUNTIF($X$1:$X$9,R673) &gt; 0</f>
        <v/>
      </c>
      <c r="T673">
        <f>IF(AND(S673=FALSE,LEN(R673)&gt;2),4,IF(S673=TRUE,INDEX($Y$1:$Y$9,MATCH(R673,$X$1:$X$9,0)),""))</f>
        <v/>
      </c>
      <c r="U673">
        <f>IF(R673&lt;&gt;"",IF(Q678="",0,MATCH(TRUE,INDEX(Q678:$Q$1100="",0),0)-1),"")</f>
        <v/>
      </c>
      <c r="V673">
        <f>IF(AND(T673&lt;&gt;"",U673&lt;&gt;""),IF(U673-T673&lt;=0,"Falls Short",U673-T673),"")</f>
        <v/>
      </c>
      <c r="W673">
        <f>IF(AND(R673&lt;&gt;"",V673&lt;&gt;"Falls Short"),20*V673,"")</f>
        <v/>
      </c>
    </row>
    <row r="674">
      <c r="Q674">
        <f>LEFT(I674,9)</f>
        <v/>
      </c>
      <c r="R674">
        <f>TRIM(B674)</f>
        <v/>
      </c>
      <c r="S674">
        <f>COUNTIF($X$1:$X$9,R674) &gt; 0</f>
        <v/>
      </c>
      <c r="T674">
        <f>IF(AND(S674=FALSE,LEN(R674)&gt;2),4,IF(S674=TRUE,INDEX($Y$1:$Y$9,MATCH(R674,$X$1:$X$9,0)),""))</f>
        <v/>
      </c>
      <c r="U674">
        <f>IF(R674&lt;&gt;"",IF(Q679="",0,MATCH(TRUE,INDEX(Q679:$Q$1100="",0),0)-1),"")</f>
        <v/>
      </c>
      <c r="V674">
        <f>IF(AND(T674&lt;&gt;"",U674&lt;&gt;""),IF(U674-T674&lt;=0,"Falls Short",U674-T674),"")</f>
        <v/>
      </c>
      <c r="W674">
        <f>IF(AND(R674&lt;&gt;"",V674&lt;&gt;"Falls Short"),20*V674,"")</f>
        <v/>
      </c>
    </row>
    <row r="675">
      <c r="Q675">
        <f>LEFT(I675,9)</f>
        <v/>
      </c>
      <c r="R675">
        <f>TRIM(B675)</f>
        <v/>
      </c>
      <c r="S675">
        <f>COUNTIF($X$1:$X$9,R675) &gt; 0</f>
        <v/>
      </c>
      <c r="T675">
        <f>IF(AND(S675=FALSE,LEN(R675)&gt;2),4,IF(S675=TRUE,INDEX($Y$1:$Y$9,MATCH(R675,$X$1:$X$9,0)),""))</f>
        <v/>
      </c>
      <c r="U675">
        <f>IF(R675&lt;&gt;"",IF(Q680="",0,MATCH(TRUE,INDEX(Q680:$Q$1100="",0),0)-1),"")</f>
        <v/>
      </c>
      <c r="V675">
        <f>IF(AND(T675&lt;&gt;"",U675&lt;&gt;""),IF(U675-T675&lt;=0,"Falls Short",U675-T675),"")</f>
        <v/>
      </c>
      <c r="W675">
        <f>IF(AND(R675&lt;&gt;"",V675&lt;&gt;"Falls Short"),20*V675,"")</f>
        <v/>
      </c>
    </row>
    <row r="676">
      <c r="Q676">
        <f>LEFT(I676,9)</f>
        <v/>
      </c>
      <c r="R676">
        <f>TRIM(B676)</f>
        <v/>
      </c>
      <c r="S676">
        <f>COUNTIF($X$1:$X$9,R676) &gt; 0</f>
        <v/>
      </c>
      <c r="T676">
        <f>IF(AND(S676=FALSE,LEN(R676)&gt;2),4,IF(S676=TRUE,INDEX($Y$1:$Y$9,MATCH(R676,$X$1:$X$9,0)),""))</f>
        <v/>
      </c>
      <c r="U676">
        <f>IF(R676&lt;&gt;"",IF(Q681="",0,MATCH(TRUE,INDEX(Q681:$Q$1100="",0),0)-1),"")</f>
        <v/>
      </c>
      <c r="V676">
        <f>IF(AND(T676&lt;&gt;"",U676&lt;&gt;""),IF(U676-T676&lt;=0,"Falls Short",U676-T676),"")</f>
        <v/>
      </c>
      <c r="W676">
        <f>IF(AND(R676&lt;&gt;"",V676&lt;&gt;"Falls Short"),20*V676,"")</f>
        <v/>
      </c>
    </row>
    <row r="677">
      <c r="Q677">
        <f>LEFT(I677,9)</f>
        <v/>
      </c>
      <c r="R677">
        <f>TRIM(B677)</f>
        <v/>
      </c>
      <c r="S677">
        <f>COUNTIF($X$1:$X$9,R677) &gt; 0</f>
        <v/>
      </c>
      <c r="T677">
        <f>IF(AND(S677=FALSE,LEN(R677)&gt;2),4,IF(S677=TRUE,INDEX($Y$1:$Y$9,MATCH(R677,$X$1:$X$9,0)),""))</f>
        <v/>
      </c>
      <c r="U677">
        <f>IF(R677&lt;&gt;"",IF(Q682="",0,MATCH(TRUE,INDEX(Q682:$Q$1100="",0),0)-1),"")</f>
        <v/>
      </c>
      <c r="V677">
        <f>IF(AND(T677&lt;&gt;"",U677&lt;&gt;""),IF(U677-T677&lt;=0,"Falls Short",U677-T677),"")</f>
        <v/>
      </c>
      <c r="W677">
        <f>IF(AND(R677&lt;&gt;"",V677&lt;&gt;"Falls Short"),20*V677,"")</f>
        <v/>
      </c>
    </row>
    <row r="678">
      <c r="Q678">
        <f>LEFT(I678,9)</f>
        <v/>
      </c>
      <c r="R678">
        <f>TRIM(B678)</f>
        <v/>
      </c>
      <c r="S678">
        <f>COUNTIF($X$1:$X$9,R678) &gt; 0</f>
        <v/>
      </c>
      <c r="T678">
        <f>IF(AND(S678=FALSE,LEN(R678)&gt;2),4,IF(S678=TRUE,INDEX($Y$1:$Y$9,MATCH(R678,$X$1:$X$9,0)),""))</f>
        <v/>
      </c>
      <c r="U678">
        <f>IF(R678&lt;&gt;"",IF(Q683="",0,MATCH(TRUE,INDEX(Q683:$Q$1100="",0),0)-1),"")</f>
        <v/>
      </c>
      <c r="V678">
        <f>IF(AND(T678&lt;&gt;"",U678&lt;&gt;""),IF(U678-T678&lt;=0,"Falls Short",U678-T678),"")</f>
        <v/>
      </c>
      <c r="W678">
        <f>IF(AND(R678&lt;&gt;"",V678&lt;&gt;"Falls Short"),20*V678,"")</f>
        <v/>
      </c>
    </row>
    <row r="679">
      <c r="Q679">
        <f>LEFT(I679,9)</f>
        <v/>
      </c>
      <c r="R679">
        <f>TRIM(B679)</f>
        <v/>
      </c>
      <c r="S679">
        <f>COUNTIF($X$1:$X$9,R679) &gt; 0</f>
        <v/>
      </c>
      <c r="T679">
        <f>IF(AND(S679=FALSE,LEN(R679)&gt;2),4,IF(S679=TRUE,INDEX($Y$1:$Y$9,MATCH(R679,$X$1:$X$9,0)),""))</f>
        <v/>
      </c>
      <c r="U679">
        <f>IF(R679&lt;&gt;"",IF(Q684="",0,MATCH(TRUE,INDEX(Q684:$Q$1100="",0),0)-1),"")</f>
        <v/>
      </c>
      <c r="V679">
        <f>IF(AND(T679&lt;&gt;"",U679&lt;&gt;""),IF(U679-T679&lt;=0,"Falls Short",U679-T679),"")</f>
        <v/>
      </c>
      <c r="W679">
        <f>IF(AND(R679&lt;&gt;"",V679&lt;&gt;"Falls Short"),20*V679,"")</f>
        <v/>
      </c>
    </row>
    <row r="680">
      <c r="Q680">
        <f>LEFT(I680,9)</f>
        <v/>
      </c>
      <c r="R680">
        <f>TRIM(B680)</f>
        <v/>
      </c>
      <c r="S680">
        <f>COUNTIF($X$1:$X$9,R680) &gt; 0</f>
        <v/>
      </c>
      <c r="T680">
        <f>IF(AND(S680=FALSE,LEN(R680)&gt;2),4,IF(S680=TRUE,INDEX($Y$1:$Y$9,MATCH(R680,$X$1:$X$9,0)),""))</f>
        <v/>
      </c>
      <c r="U680">
        <f>IF(R680&lt;&gt;"",IF(Q685="",0,MATCH(TRUE,INDEX(Q685:$Q$1100="",0),0)-1),"")</f>
        <v/>
      </c>
      <c r="V680">
        <f>IF(AND(T680&lt;&gt;"",U680&lt;&gt;""),IF(U680-T680&lt;=0,"Falls Short",U680-T680),"")</f>
        <v/>
      </c>
      <c r="W680">
        <f>IF(AND(R680&lt;&gt;"",V680&lt;&gt;"Falls Short"),20*V680,"")</f>
        <v/>
      </c>
    </row>
    <row r="681">
      <c r="Q681">
        <f>LEFT(I681,9)</f>
        <v/>
      </c>
      <c r="R681">
        <f>TRIM(B681)</f>
        <v/>
      </c>
      <c r="S681">
        <f>COUNTIF($X$1:$X$9,R681) &gt; 0</f>
        <v/>
      </c>
      <c r="T681">
        <f>IF(AND(S681=FALSE,LEN(R681)&gt;2),4,IF(S681=TRUE,INDEX($Y$1:$Y$9,MATCH(R681,$X$1:$X$9,0)),""))</f>
        <v/>
      </c>
      <c r="U681">
        <f>IF(R681&lt;&gt;"",IF(Q686="",0,MATCH(TRUE,INDEX(Q686:$Q$1100="",0),0)-1),"")</f>
        <v/>
      </c>
      <c r="V681">
        <f>IF(AND(T681&lt;&gt;"",U681&lt;&gt;""),IF(U681-T681&lt;=0,"Falls Short",U681-T681),"")</f>
        <v/>
      </c>
      <c r="W681">
        <f>IF(AND(R681&lt;&gt;"",V681&lt;&gt;"Falls Short"),20*V681,"")</f>
        <v/>
      </c>
    </row>
    <row r="682">
      <c r="Q682">
        <f>LEFT(I682,9)</f>
        <v/>
      </c>
      <c r="R682">
        <f>TRIM(B682)</f>
        <v/>
      </c>
      <c r="S682">
        <f>COUNTIF($X$1:$X$9,R682) &gt; 0</f>
        <v/>
      </c>
      <c r="T682">
        <f>IF(AND(S682=FALSE,LEN(R682)&gt;2),4,IF(S682=TRUE,INDEX($Y$1:$Y$9,MATCH(R682,$X$1:$X$9,0)),""))</f>
        <v/>
      </c>
      <c r="U682">
        <f>IF(R682&lt;&gt;"",IF(Q687="",0,MATCH(TRUE,INDEX(Q687:$Q$1100="",0),0)-1),"")</f>
        <v/>
      </c>
      <c r="V682">
        <f>IF(AND(T682&lt;&gt;"",U682&lt;&gt;""),IF(U682-T682&lt;=0,"Falls Short",U682-T682),"")</f>
        <v/>
      </c>
      <c r="W682">
        <f>IF(AND(R682&lt;&gt;"",V682&lt;&gt;"Falls Short"),20*V682,"")</f>
        <v/>
      </c>
    </row>
    <row r="683">
      <c r="Q683">
        <f>LEFT(I683,9)</f>
        <v/>
      </c>
      <c r="R683">
        <f>TRIM(B683)</f>
        <v/>
      </c>
      <c r="S683">
        <f>COUNTIF($X$1:$X$9,R683) &gt; 0</f>
        <v/>
      </c>
      <c r="T683">
        <f>IF(AND(S683=FALSE,LEN(R683)&gt;2),4,IF(S683=TRUE,INDEX($Y$1:$Y$9,MATCH(R683,$X$1:$X$9,0)),""))</f>
        <v/>
      </c>
      <c r="U683">
        <f>IF(R683&lt;&gt;"",IF(Q688="",0,MATCH(TRUE,INDEX(Q688:$Q$1100="",0),0)-1),"")</f>
        <v/>
      </c>
      <c r="V683">
        <f>IF(AND(T683&lt;&gt;"",U683&lt;&gt;""),IF(U683-T683&lt;=0,"Falls Short",U683-T683),"")</f>
        <v/>
      </c>
      <c r="W683">
        <f>IF(AND(R683&lt;&gt;"",V683&lt;&gt;"Falls Short"),20*V683,"")</f>
        <v/>
      </c>
    </row>
    <row r="684">
      <c r="Q684">
        <f>LEFT(I684,9)</f>
        <v/>
      </c>
      <c r="R684">
        <f>TRIM(B684)</f>
        <v/>
      </c>
      <c r="S684">
        <f>COUNTIF($X$1:$X$9,R684) &gt; 0</f>
        <v/>
      </c>
      <c r="T684">
        <f>IF(AND(S684=FALSE,LEN(R684)&gt;2),4,IF(S684=TRUE,INDEX($Y$1:$Y$9,MATCH(R684,$X$1:$X$9,0)),""))</f>
        <v/>
      </c>
      <c r="U684">
        <f>IF(R684&lt;&gt;"",IF(Q689="",0,MATCH(TRUE,INDEX(Q689:$Q$1100="",0),0)-1),"")</f>
        <v/>
      </c>
      <c r="V684">
        <f>IF(AND(T684&lt;&gt;"",U684&lt;&gt;""),IF(U684-T684&lt;=0,"Falls Short",U684-T684),"")</f>
        <v/>
      </c>
      <c r="W684">
        <f>IF(AND(R684&lt;&gt;"",V684&lt;&gt;"Falls Short"),20*V684,"")</f>
        <v/>
      </c>
    </row>
    <row r="685">
      <c r="Q685">
        <f>LEFT(I685,9)</f>
        <v/>
      </c>
      <c r="R685">
        <f>TRIM(B685)</f>
        <v/>
      </c>
      <c r="S685">
        <f>COUNTIF($X$1:$X$9,R685) &gt; 0</f>
        <v/>
      </c>
      <c r="T685">
        <f>IF(AND(S685=FALSE,LEN(R685)&gt;2),4,IF(S685=TRUE,INDEX($Y$1:$Y$9,MATCH(R685,$X$1:$X$9,0)),""))</f>
        <v/>
      </c>
      <c r="U685">
        <f>IF(R685&lt;&gt;"",IF(Q690="",0,MATCH(TRUE,INDEX(Q690:$Q$1100="",0),0)-1),"")</f>
        <v/>
      </c>
      <c r="V685">
        <f>IF(AND(T685&lt;&gt;"",U685&lt;&gt;""),IF(U685-T685&lt;=0,"Falls Short",U685-T685),"")</f>
        <v/>
      </c>
      <c r="W685">
        <f>IF(AND(R685&lt;&gt;"",V685&lt;&gt;"Falls Short"),20*V685,"")</f>
        <v/>
      </c>
    </row>
    <row r="686">
      <c r="Q686">
        <f>LEFT(I686,9)</f>
        <v/>
      </c>
      <c r="R686">
        <f>TRIM(B686)</f>
        <v/>
      </c>
      <c r="S686">
        <f>COUNTIF($X$1:$X$9,R686) &gt; 0</f>
        <v/>
      </c>
      <c r="T686">
        <f>IF(AND(S686=FALSE,LEN(R686)&gt;2),4,IF(S686=TRUE,INDEX($Y$1:$Y$9,MATCH(R686,$X$1:$X$9,0)),""))</f>
        <v/>
      </c>
      <c r="U686">
        <f>IF(R686&lt;&gt;"",IF(Q691="",0,MATCH(TRUE,INDEX(Q691:$Q$1100="",0),0)-1),"")</f>
        <v/>
      </c>
      <c r="V686">
        <f>IF(AND(T686&lt;&gt;"",U686&lt;&gt;""),IF(U686-T686&lt;=0,"Falls Short",U686-T686),"")</f>
        <v/>
      </c>
      <c r="W686">
        <f>IF(AND(R686&lt;&gt;"",V686&lt;&gt;"Falls Short"),20*V686,"")</f>
        <v/>
      </c>
    </row>
    <row r="687">
      <c r="Q687">
        <f>LEFT(I687,9)</f>
        <v/>
      </c>
      <c r="R687">
        <f>TRIM(B687)</f>
        <v/>
      </c>
      <c r="S687">
        <f>COUNTIF($X$1:$X$9,R687) &gt; 0</f>
        <v/>
      </c>
      <c r="T687">
        <f>IF(AND(S687=FALSE,LEN(R687)&gt;2),4,IF(S687=TRUE,INDEX($Y$1:$Y$9,MATCH(R687,$X$1:$X$9,0)),""))</f>
        <v/>
      </c>
      <c r="U687">
        <f>IF(R687&lt;&gt;"",IF(Q692="",0,MATCH(TRUE,INDEX(Q692:$Q$1100="",0),0)-1),"")</f>
        <v/>
      </c>
      <c r="V687">
        <f>IF(AND(T687&lt;&gt;"",U687&lt;&gt;""),IF(U687-T687&lt;=0,"Falls Short",U687-T687),"")</f>
        <v/>
      </c>
      <c r="W687">
        <f>IF(AND(R687&lt;&gt;"",V687&lt;&gt;"Falls Short"),20*V687,"")</f>
        <v/>
      </c>
    </row>
    <row r="688">
      <c r="Q688">
        <f>LEFT(I688,9)</f>
        <v/>
      </c>
      <c r="R688">
        <f>TRIM(B688)</f>
        <v/>
      </c>
      <c r="S688">
        <f>COUNTIF($X$1:$X$9,R688) &gt; 0</f>
        <v/>
      </c>
      <c r="T688">
        <f>IF(AND(S688=FALSE,LEN(R688)&gt;2),4,IF(S688=TRUE,INDEX($Y$1:$Y$9,MATCH(R688,$X$1:$X$9,0)),""))</f>
        <v/>
      </c>
      <c r="U688">
        <f>IF(R688&lt;&gt;"",IF(Q693="",0,MATCH(TRUE,INDEX(Q693:$Q$1100="",0),0)-1),"")</f>
        <v/>
      </c>
      <c r="V688">
        <f>IF(AND(T688&lt;&gt;"",U688&lt;&gt;""),IF(U688-T688&lt;=0,"Falls Short",U688-T688),"")</f>
        <v/>
      </c>
      <c r="W688">
        <f>IF(AND(R688&lt;&gt;"",V688&lt;&gt;"Falls Short"),20*V688,"")</f>
        <v/>
      </c>
    </row>
    <row r="689">
      <c r="Q689">
        <f>LEFT(I689,9)</f>
        <v/>
      </c>
      <c r="R689">
        <f>TRIM(B689)</f>
        <v/>
      </c>
      <c r="S689">
        <f>COUNTIF($X$1:$X$9,R689) &gt; 0</f>
        <v/>
      </c>
      <c r="T689">
        <f>IF(AND(S689=FALSE,LEN(R689)&gt;2),4,IF(S689=TRUE,INDEX($Y$1:$Y$9,MATCH(R689,$X$1:$X$9,0)),""))</f>
        <v/>
      </c>
      <c r="U689">
        <f>IF(R689&lt;&gt;"",IF(Q694="",0,MATCH(TRUE,INDEX(Q694:$Q$1100="",0),0)-1),"")</f>
        <v/>
      </c>
      <c r="V689">
        <f>IF(AND(T689&lt;&gt;"",U689&lt;&gt;""),IF(U689-T689&lt;=0,"Falls Short",U689-T689),"")</f>
        <v/>
      </c>
      <c r="W689">
        <f>IF(AND(R689&lt;&gt;"",V689&lt;&gt;"Falls Short"),20*V689,"")</f>
        <v/>
      </c>
    </row>
    <row r="690">
      <c r="Q690">
        <f>LEFT(I690,9)</f>
        <v/>
      </c>
      <c r="R690">
        <f>TRIM(B690)</f>
        <v/>
      </c>
      <c r="S690">
        <f>COUNTIF($X$1:$X$9,R690) &gt; 0</f>
        <v/>
      </c>
      <c r="T690">
        <f>IF(AND(S690=FALSE,LEN(R690)&gt;2),4,IF(S690=TRUE,INDEX($Y$1:$Y$9,MATCH(R690,$X$1:$X$9,0)),""))</f>
        <v/>
      </c>
      <c r="U690">
        <f>IF(R690&lt;&gt;"",IF(Q695="",0,MATCH(TRUE,INDEX(Q695:$Q$1100="",0),0)-1),"")</f>
        <v/>
      </c>
      <c r="V690">
        <f>IF(AND(T690&lt;&gt;"",U690&lt;&gt;""),IF(U690-T690&lt;=0,"Falls Short",U690-T690),"")</f>
        <v/>
      </c>
      <c r="W690">
        <f>IF(AND(R690&lt;&gt;"",V690&lt;&gt;"Falls Short"),20*V690,"")</f>
        <v/>
      </c>
    </row>
    <row r="691">
      <c r="Q691">
        <f>LEFT(I691,9)</f>
        <v/>
      </c>
      <c r="R691">
        <f>TRIM(B691)</f>
        <v/>
      </c>
      <c r="S691">
        <f>COUNTIF($X$1:$X$9,R691) &gt; 0</f>
        <v/>
      </c>
      <c r="T691">
        <f>IF(AND(S691=FALSE,LEN(R691)&gt;2),4,IF(S691=TRUE,INDEX($Y$1:$Y$9,MATCH(R691,$X$1:$X$9,0)),""))</f>
        <v/>
      </c>
      <c r="U691">
        <f>IF(R691&lt;&gt;"",IF(Q696="",0,MATCH(TRUE,INDEX(Q696:$Q$1100="",0),0)-1),"")</f>
        <v/>
      </c>
      <c r="V691">
        <f>IF(AND(T691&lt;&gt;"",U691&lt;&gt;""),IF(U691-T691&lt;=0,"Falls Short",U691-T691),"")</f>
        <v/>
      </c>
      <c r="W691">
        <f>IF(AND(R691&lt;&gt;"",V691&lt;&gt;"Falls Short"),20*V691,"")</f>
        <v/>
      </c>
    </row>
    <row r="692">
      <c r="Q692">
        <f>LEFT(I692,9)</f>
        <v/>
      </c>
      <c r="R692">
        <f>TRIM(B692)</f>
        <v/>
      </c>
      <c r="S692">
        <f>COUNTIF($X$1:$X$9,R692) &gt; 0</f>
        <v/>
      </c>
      <c r="T692">
        <f>IF(AND(S692=FALSE,LEN(R692)&gt;2),4,IF(S692=TRUE,INDEX($Y$1:$Y$9,MATCH(R692,$X$1:$X$9,0)),""))</f>
        <v/>
      </c>
      <c r="U692">
        <f>IF(R692&lt;&gt;"",IF(Q697="",0,MATCH(TRUE,INDEX(Q697:$Q$1100="",0),0)-1),"")</f>
        <v/>
      </c>
      <c r="V692">
        <f>IF(AND(T692&lt;&gt;"",U692&lt;&gt;""),IF(U692-T692&lt;=0,"Falls Short",U692-T692),"")</f>
        <v/>
      </c>
      <c r="W692">
        <f>IF(AND(R692&lt;&gt;"",V692&lt;&gt;"Falls Short"),20*V692,"")</f>
        <v/>
      </c>
    </row>
    <row r="693">
      <c r="Q693">
        <f>LEFT(I693,9)</f>
        <v/>
      </c>
      <c r="R693">
        <f>TRIM(B693)</f>
        <v/>
      </c>
      <c r="S693">
        <f>COUNTIF($X$1:$X$9,R693) &gt; 0</f>
        <v/>
      </c>
      <c r="T693">
        <f>IF(AND(S693=FALSE,LEN(R693)&gt;2),4,IF(S693=TRUE,INDEX($Y$1:$Y$9,MATCH(R693,$X$1:$X$9,0)),""))</f>
        <v/>
      </c>
      <c r="U693">
        <f>IF(R693&lt;&gt;"",IF(Q698="",0,MATCH(TRUE,INDEX(Q698:$Q$1100="",0),0)-1),"")</f>
        <v/>
      </c>
      <c r="V693">
        <f>IF(AND(T693&lt;&gt;"",U693&lt;&gt;""),IF(U693-T693&lt;=0,"Falls Short",U693-T693),"")</f>
        <v/>
      </c>
      <c r="W693">
        <f>IF(AND(R693&lt;&gt;"",V693&lt;&gt;"Falls Short"),20*V693,"")</f>
        <v/>
      </c>
    </row>
    <row r="694">
      <c r="Q694">
        <f>LEFT(I694,9)</f>
        <v/>
      </c>
      <c r="R694">
        <f>TRIM(B694)</f>
        <v/>
      </c>
      <c r="S694">
        <f>COUNTIF($X$1:$X$9,R694) &gt; 0</f>
        <v/>
      </c>
      <c r="T694">
        <f>IF(AND(S694=FALSE,LEN(R694)&gt;2),4,IF(S694=TRUE,INDEX($Y$1:$Y$9,MATCH(R694,$X$1:$X$9,0)),""))</f>
        <v/>
      </c>
      <c r="U694">
        <f>IF(R694&lt;&gt;"",IF(Q699="",0,MATCH(TRUE,INDEX(Q699:$Q$1100="",0),0)-1),"")</f>
        <v/>
      </c>
      <c r="V694">
        <f>IF(AND(T694&lt;&gt;"",U694&lt;&gt;""),IF(U694-T694&lt;=0,"Falls Short",U694-T694),"")</f>
        <v/>
      </c>
      <c r="W694">
        <f>IF(AND(R694&lt;&gt;"",V694&lt;&gt;"Falls Short"),20*V694,"")</f>
        <v/>
      </c>
    </row>
    <row r="695">
      <c r="Q695">
        <f>LEFT(I695,9)</f>
        <v/>
      </c>
      <c r="R695">
        <f>TRIM(B695)</f>
        <v/>
      </c>
      <c r="S695">
        <f>COUNTIF($X$1:$X$9,R695) &gt; 0</f>
        <v/>
      </c>
      <c r="T695">
        <f>IF(AND(S695=FALSE,LEN(R695)&gt;2),4,IF(S695=TRUE,INDEX($Y$1:$Y$9,MATCH(R695,$X$1:$X$9,0)),""))</f>
        <v/>
      </c>
      <c r="U695">
        <f>IF(R695&lt;&gt;"",IF(Q700="",0,MATCH(TRUE,INDEX(Q700:$Q$1100="",0),0)-1),"")</f>
        <v/>
      </c>
      <c r="V695">
        <f>IF(AND(T695&lt;&gt;"",U695&lt;&gt;""),IF(U695-T695&lt;=0,"Falls Short",U695-T695),"")</f>
        <v/>
      </c>
      <c r="W695">
        <f>IF(AND(R695&lt;&gt;"",V695&lt;&gt;"Falls Short"),20*V695,"")</f>
        <v/>
      </c>
    </row>
    <row r="696">
      <c r="Q696">
        <f>LEFT(I696,9)</f>
        <v/>
      </c>
      <c r="R696">
        <f>TRIM(B696)</f>
        <v/>
      </c>
      <c r="S696">
        <f>COUNTIF($X$1:$X$9,R696) &gt; 0</f>
        <v/>
      </c>
      <c r="T696">
        <f>IF(AND(S696=FALSE,LEN(R696)&gt;2),4,IF(S696=TRUE,INDEX($Y$1:$Y$9,MATCH(R696,$X$1:$X$9,0)),""))</f>
        <v/>
      </c>
      <c r="U696">
        <f>IF(R696&lt;&gt;"",IF(Q701="",0,MATCH(TRUE,INDEX(Q701:$Q$1100="",0),0)-1),"")</f>
        <v/>
      </c>
      <c r="V696">
        <f>IF(AND(T696&lt;&gt;"",U696&lt;&gt;""),IF(U696-T696&lt;=0,"Falls Short",U696-T696),"")</f>
        <v/>
      </c>
      <c r="W696">
        <f>IF(AND(R696&lt;&gt;"",V696&lt;&gt;"Falls Short"),20*V696,"")</f>
        <v/>
      </c>
    </row>
    <row r="697">
      <c r="Q697">
        <f>LEFT(I697,9)</f>
        <v/>
      </c>
      <c r="R697">
        <f>TRIM(B697)</f>
        <v/>
      </c>
      <c r="S697">
        <f>COUNTIF($X$1:$X$9,R697) &gt; 0</f>
        <v/>
      </c>
      <c r="T697">
        <f>IF(AND(S697=FALSE,LEN(R697)&gt;2),4,IF(S697=TRUE,INDEX($Y$1:$Y$9,MATCH(R697,$X$1:$X$9,0)),""))</f>
        <v/>
      </c>
      <c r="U697">
        <f>IF(R697&lt;&gt;"",IF(Q702="",0,MATCH(TRUE,INDEX(Q702:$Q$1100="",0),0)-1),"")</f>
        <v/>
      </c>
      <c r="V697">
        <f>IF(AND(T697&lt;&gt;"",U697&lt;&gt;""),IF(U697-T697&lt;=0,"Falls Short",U697-T697),"")</f>
        <v/>
      </c>
      <c r="W697">
        <f>IF(AND(R697&lt;&gt;"",V697&lt;&gt;"Falls Short"),20*V697,"")</f>
        <v/>
      </c>
    </row>
    <row r="698">
      <c r="Q698">
        <f>LEFT(I698,9)</f>
        <v/>
      </c>
      <c r="R698">
        <f>TRIM(B698)</f>
        <v/>
      </c>
      <c r="S698">
        <f>COUNTIF($X$1:$X$9,R698) &gt; 0</f>
        <v/>
      </c>
      <c r="T698">
        <f>IF(AND(S698=FALSE,LEN(R698)&gt;2),4,IF(S698=TRUE,INDEX($Y$1:$Y$9,MATCH(R698,$X$1:$X$9,0)),""))</f>
        <v/>
      </c>
      <c r="U698">
        <f>IF(R698&lt;&gt;"",IF(Q703="",0,MATCH(TRUE,INDEX(Q703:$Q$1100="",0),0)-1),"")</f>
        <v/>
      </c>
      <c r="V698">
        <f>IF(AND(T698&lt;&gt;"",U698&lt;&gt;""),IF(U698-T698&lt;=0,"Falls Short",U698-T698),"")</f>
        <v/>
      </c>
      <c r="W698">
        <f>IF(AND(R698&lt;&gt;"",V698&lt;&gt;"Falls Short"),20*V698,"")</f>
        <v/>
      </c>
    </row>
    <row r="699">
      <c r="Q699">
        <f>LEFT(I699,9)</f>
        <v/>
      </c>
      <c r="R699">
        <f>TRIM(B699)</f>
        <v/>
      </c>
      <c r="S699">
        <f>COUNTIF($X$1:$X$9,R699) &gt; 0</f>
        <v/>
      </c>
      <c r="T699">
        <f>IF(AND(S699=FALSE,LEN(R699)&gt;2),4,IF(S699=TRUE,INDEX($Y$1:$Y$9,MATCH(R699,$X$1:$X$9,0)),""))</f>
        <v/>
      </c>
      <c r="U699">
        <f>IF(R699&lt;&gt;"",IF(Q704="",0,MATCH(TRUE,INDEX(Q704:$Q$1100="",0),0)-1),"")</f>
        <v/>
      </c>
      <c r="V699">
        <f>IF(AND(T699&lt;&gt;"",U699&lt;&gt;""),IF(U699-T699&lt;=0,"Falls Short",U699-T699),"")</f>
        <v/>
      </c>
      <c r="W699">
        <f>IF(AND(R699&lt;&gt;"",V699&lt;&gt;"Falls Short"),20*V699,"")</f>
        <v/>
      </c>
    </row>
    <row r="700">
      <c r="Q700">
        <f>LEFT(I700,9)</f>
        <v/>
      </c>
      <c r="R700">
        <f>TRIM(B700)</f>
        <v/>
      </c>
      <c r="S700">
        <f>COUNTIF($X$1:$X$9,R700) &gt; 0</f>
        <v/>
      </c>
      <c r="T700">
        <f>IF(AND(S700=FALSE,LEN(R700)&gt;2),4,IF(S700=TRUE,INDEX($Y$1:$Y$9,MATCH(R700,$X$1:$X$9,0)),""))</f>
        <v/>
      </c>
      <c r="U700">
        <f>IF(R700&lt;&gt;"",IF(Q705="",0,MATCH(TRUE,INDEX(Q705:$Q$1100="",0),0)-1),"")</f>
        <v/>
      </c>
      <c r="V700">
        <f>IF(AND(T700&lt;&gt;"",U700&lt;&gt;""),IF(U700-T700&lt;=0,"Falls Short",U700-T700),"")</f>
        <v/>
      </c>
      <c r="W700">
        <f>IF(AND(R700&lt;&gt;"",V700&lt;&gt;"Falls Short"),20*V700,"")</f>
        <v/>
      </c>
    </row>
    <row r="701">
      <c r="Q701">
        <f>LEFT(I701,9)</f>
        <v/>
      </c>
      <c r="R701">
        <f>TRIM(B701)</f>
        <v/>
      </c>
      <c r="S701">
        <f>COUNTIF($X$1:$X$9,R701) &gt; 0</f>
        <v/>
      </c>
      <c r="T701">
        <f>IF(AND(S701=FALSE,LEN(R701)&gt;2),4,IF(S701=TRUE,INDEX($Y$1:$Y$9,MATCH(R701,$X$1:$X$9,0)),""))</f>
        <v/>
      </c>
      <c r="U701">
        <f>IF(R701&lt;&gt;"",IF(Q706="",0,MATCH(TRUE,INDEX(Q706:$Q$1100="",0),0)-1),"")</f>
        <v/>
      </c>
      <c r="V701">
        <f>IF(AND(T701&lt;&gt;"",U701&lt;&gt;""),IF(U701-T701&lt;=0,"Falls Short",U701-T701),"")</f>
        <v/>
      </c>
      <c r="W701">
        <f>IF(AND(R701&lt;&gt;"",V701&lt;&gt;"Falls Short"),20*V701,"")</f>
        <v/>
      </c>
    </row>
    <row r="702">
      <c r="Q702">
        <f>LEFT(I702,9)</f>
        <v/>
      </c>
      <c r="R702">
        <f>TRIM(B702)</f>
        <v/>
      </c>
      <c r="S702">
        <f>COUNTIF($X$1:$X$9,R702) &gt; 0</f>
        <v/>
      </c>
      <c r="T702">
        <f>IF(AND(S702=FALSE,LEN(R702)&gt;2),4,IF(S702=TRUE,INDEX($Y$1:$Y$9,MATCH(R702,$X$1:$X$9,0)),""))</f>
        <v/>
      </c>
      <c r="U702">
        <f>IF(R702&lt;&gt;"",IF(Q707="",0,MATCH(TRUE,INDEX(Q707:$Q$1100="",0),0)-1),"")</f>
        <v/>
      </c>
      <c r="V702">
        <f>IF(AND(T702&lt;&gt;"",U702&lt;&gt;""),IF(U702-T702&lt;=0,"Falls Short",U702-T702),"")</f>
        <v/>
      </c>
      <c r="W702">
        <f>IF(AND(R702&lt;&gt;"",V702&lt;&gt;"Falls Short"),20*V702,"")</f>
        <v/>
      </c>
    </row>
    <row r="703">
      <c r="Q703">
        <f>LEFT(I703,9)</f>
        <v/>
      </c>
      <c r="R703">
        <f>TRIM(B703)</f>
        <v/>
      </c>
      <c r="S703">
        <f>COUNTIF($X$1:$X$9,R703) &gt; 0</f>
        <v/>
      </c>
      <c r="T703">
        <f>IF(AND(S703=FALSE,LEN(R703)&gt;2),4,IF(S703=TRUE,INDEX($Y$1:$Y$9,MATCH(R703,$X$1:$X$9,0)),""))</f>
        <v/>
      </c>
      <c r="U703">
        <f>IF(R703&lt;&gt;"",IF(Q708="",0,MATCH(TRUE,INDEX(Q708:$Q$1100="",0),0)-1),"")</f>
        <v/>
      </c>
      <c r="V703">
        <f>IF(AND(T703&lt;&gt;"",U703&lt;&gt;""),IF(U703-T703&lt;=0,"Falls Short",U703-T703),"")</f>
        <v/>
      </c>
      <c r="W703">
        <f>IF(AND(R703&lt;&gt;"",V703&lt;&gt;"Falls Short"),20*V703,"")</f>
        <v/>
      </c>
    </row>
    <row r="704">
      <c r="Q704">
        <f>LEFT(I704,9)</f>
        <v/>
      </c>
      <c r="R704">
        <f>TRIM(B704)</f>
        <v/>
      </c>
      <c r="S704">
        <f>COUNTIF($X$1:$X$9,R704) &gt; 0</f>
        <v/>
      </c>
      <c r="T704">
        <f>IF(AND(S704=FALSE,LEN(R704)&gt;2),4,IF(S704=TRUE,INDEX($Y$1:$Y$9,MATCH(R704,$X$1:$X$9,0)),""))</f>
        <v/>
      </c>
      <c r="U704">
        <f>IF(R704&lt;&gt;"",IF(Q709="",0,MATCH(TRUE,INDEX(Q709:$Q$1100="",0),0)-1),"")</f>
        <v/>
      </c>
      <c r="V704">
        <f>IF(AND(T704&lt;&gt;"",U704&lt;&gt;""),IF(U704-T704&lt;=0,"Falls Short",U704-T704),"")</f>
        <v/>
      </c>
      <c r="W704">
        <f>IF(AND(R704&lt;&gt;"",V704&lt;&gt;"Falls Short"),20*V704,"")</f>
        <v/>
      </c>
    </row>
    <row r="705">
      <c r="Q705">
        <f>LEFT(I705,9)</f>
        <v/>
      </c>
      <c r="R705">
        <f>TRIM(B705)</f>
        <v/>
      </c>
      <c r="S705">
        <f>COUNTIF($X$1:$X$9,R705) &gt; 0</f>
        <v/>
      </c>
      <c r="T705">
        <f>IF(AND(S705=FALSE,LEN(R705)&gt;2),4,IF(S705=TRUE,INDEX($Y$1:$Y$9,MATCH(R705,$X$1:$X$9,0)),""))</f>
        <v/>
      </c>
      <c r="U705">
        <f>IF(R705&lt;&gt;"",IF(Q710="",0,MATCH(TRUE,INDEX(Q710:$Q$1100="",0),0)-1),"")</f>
        <v/>
      </c>
      <c r="V705">
        <f>IF(AND(T705&lt;&gt;"",U705&lt;&gt;""),IF(U705-T705&lt;=0,"Falls Short",U705-T705),"")</f>
        <v/>
      </c>
      <c r="W705">
        <f>IF(AND(R705&lt;&gt;"",V705&lt;&gt;"Falls Short"),20*V705,"")</f>
        <v/>
      </c>
    </row>
    <row r="706">
      <c r="Q706">
        <f>LEFT(I706,9)</f>
        <v/>
      </c>
      <c r="R706">
        <f>TRIM(B706)</f>
        <v/>
      </c>
      <c r="S706">
        <f>COUNTIF($X$1:$X$9,R706) &gt; 0</f>
        <v/>
      </c>
      <c r="T706">
        <f>IF(AND(S706=FALSE,LEN(R706)&gt;2),4,IF(S706=TRUE,INDEX($Y$1:$Y$9,MATCH(R706,$X$1:$X$9,0)),""))</f>
        <v/>
      </c>
      <c r="U706">
        <f>IF(R706&lt;&gt;"",IF(Q711="",0,MATCH(TRUE,INDEX(Q711:$Q$1100="",0),0)-1),"")</f>
        <v/>
      </c>
      <c r="V706">
        <f>IF(AND(T706&lt;&gt;"",U706&lt;&gt;""),IF(U706-T706&lt;=0,"Falls Short",U706-T706),"")</f>
        <v/>
      </c>
      <c r="W706">
        <f>IF(AND(R706&lt;&gt;"",V706&lt;&gt;"Falls Short"),20*V706,"")</f>
        <v/>
      </c>
    </row>
    <row r="707">
      <c r="Q707">
        <f>LEFT(I707,9)</f>
        <v/>
      </c>
      <c r="R707">
        <f>TRIM(B707)</f>
        <v/>
      </c>
      <c r="S707">
        <f>COUNTIF($X$1:$X$9,R707) &gt; 0</f>
        <v/>
      </c>
      <c r="T707">
        <f>IF(AND(S707=FALSE,LEN(R707)&gt;2),4,IF(S707=TRUE,INDEX($Y$1:$Y$9,MATCH(R707,$X$1:$X$9,0)),""))</f>
        <v/>
      </c>
      <c r="U707">
        <f>IF(R707&lt;&gt;"",IF(Q712="",0,MATCH(TRUE,INDEX(Q712:$Q$1100="",0),0)-1),"")</f>
        <v/>
      </c>
      <c r="V707">
        <f>IF(AND(T707&lt;&gt;"",U707&lt;&gt;""),IF(U707-T707&lt;=0,"Falls Short",U707-T707),"")</f>
        <v/>
      </c>
      <c r="W707">
        <f>IF(AND(R707&lt;&gt;"",V707&lt;&gt;"Falls Short"),20*V707,"")</f>
        <v/>
      </c>
    </row>
    <row r="708">
      <c r="Q708">
        <f>LEFT(I708,9)</f>
        <v/>
      </c>
      <c r="R708">
        <f>TRIM(B708)</f>
        <v/>
      </c>
      <c r="S708">
        <f>COUNTIF($X$1:$X$9,R708) &gt; 0</f>
        <v/>
      </c>
      <c r="T708">
        <f>IF(AND(S708=FALSE,LEN(R708)&gt;2),4,IF(S708=TRUE,INDEX($Y$1:$Y$9,MATCH(R708,$X$1:$X$9,0)),""))</f>
        <v/>
      </c>
      <c r="U708">
        <f>IF(R708&lt;&gt;"",IF(Q713="",0,MATCH(TRUE,INDEX(Q713:$Q$1100="",0),0)-1),"")</f>
        <v/>
      </c>
      <c r="V708">
        <f>IF(AND(T708&lt;&gt;"",U708&lt;&gt;""),IF(U708-T708&lt;=0,"Falls Short",U708-T708),"")</f>
        <v/>
      </c>
      <c r="W708">
        <f>IF(AND(R708&lt;&gt;"",V708&lt;&gt;"Falls Short"),20*V708,"")</f>
        <v/>
      </c>
    </row>
    <row r="709">
      <c r="Q709">
        <f>LEFT(I709,9)</f>
        <v/>
      </c>
      <c r="R709">
        <f>TRIM(B709)</f>
        <v/>
      </c>
      <c r="S709">
        <f>COUNTIF($X$1:$X$9,R709) &gt; 0</f>
        <v/>
      </c>
      <c r="T709">
        <f>IF(AND(S709=FALSE,LEN(R709)&gt;2),4,IF(S709=TRUE,INDEX($Y$1:$Y$9,MATCH(R709,$X$1:$X$9,0)),""))</f>
        <v/>
      </c>
      <c r="U709">
        <f>IF(R709&lt;&gt;"",IF(Q714="",0,MATCH(TRUE,INDEX(Q714:$Q$1100="",0),0)-1),"")</f>
        <v/>
      </c>
      <c r="V709">
        <f>IF(AND(T709&lt;&gt;"",U709&lt;&gt;""),IF(U709-T709&lt;=0,"Falls Short",U709-T709),"")</f>
        <v/>
      </c>
      <c r="W709">
        <f>IF(AND(R709&lt;&gt;"",V709&lt;&gt;"Falls Short"),20*V709,"")</f>
        <v/>
      </c>
    </row>
    <row r="710">
      <c r="Q710">
        <f>LEFT(I710,9)</f>
        <v/>
      </c>
      <c r="R710">
        <f>TRIM(B710)</f>
        <v/>
      </c>
      <c r="S710">
        <f>COUNTIF($X$1:$X$9,R710) &gt; 0</f>
        <v/>
      </c>
      <c r="T710">
        <f>IF(AND(S710=FALSE,LEN(R710)&gt;2),4,IF(S710=TRUE,INDEX($Y$1:$Y$9,MATCH(R710,$X$1:$X$9,0)),""))</f>
        <v/>
      </c>
      <c r="U710">
        <f>IF(R710&lt;&gt;"",IF(Q715="",0,MATCH(TRUE,INDEX(Q715:$Q$1100="",0),0)-1),"")</f>
        <v/>
      </c>
      <c r="V710">
        <f>IF(AND(T710&lt;&gt;"",U710&lt;&gt;""),IF(U710-T710&lt;=0,"Falls Short",U710-T710),"")</f>
        <v/>
      </c>
      <c r="W710">
        <f>IF(AND(R710&lt;&gt;"",V710&lt;&gt;"Falls Short"),20*V710,"")</f>
        <v/>
      </c>
    </row>
    <row r="711">
      <c r="Q711">
        <f>LEFT(I711,9)</f>
        <v/>
      </c>
      <c r="R711">
        <f>TRIM(B711)</f>
        <v/>
      </c>
      <c r="S711">
        <f>COUNTIF($X$1:$X$9,R711) &gt; 0</f>
        <v/>
      </c>
      <c r="T711">
        <f>IF(AND(S711=FALSE,LEN(R711)&gt;2),4,IF(S711=TRUE,INDEX($Y$1:$Y$9,MATCH(R711,$X$1:$X$9,0)),""))</f>
        <v/>
      </c>
      <c r="U711">
        <f>IF(R711&lt;&gt;"",IF(Q716="",0,MATCH(TRUE,INDEX(Q716:$Q$1100="",0),0)-1),"")</f>
        <v/>
      </c>
      <c r="V711">
        <f>IF(AND(T711&lt;&gt;"",U711&lt;&gt;""),IF(U711-T711&lt;=0,"Falls Short",U711-T711),"")</f>
        <v/>
      </c>
      <c r="W711">
        <f>IF(AND(R711&lt;&gt;"",V711&lt;&gt;"Falls Short"),20*V711,"")</f>
        <v/>
      </c>
    </row>
    <row r="712">
      <c r="Q712">
        <f>LEFT(I712,9)</f>
        <v/>
      </c>
      <c r="R712">
        <f>TRIM(B712)</f>
        <v/>
      </c>
      <c r="S712">
        <f>COUNTIF($X$1:$X$9,R712) &gt; 0</f>
        <v/>
      </c>
      <c r="T712">
        <f>IF(AND(S712=FALSE,LEN(R712)&gt;2),4,IF(S712=TRUE,INDEX($Y$1:$Y$9,MATCH(R712,$X$1:$X$9,0)),""))</f>
        <v/>
      </c>
      <c r="U712">
        <f>IF(R712&lt;&gt;"",IF(Q717="",0,MATCH(TRUE,INDEX(Q717:$Q$1100="",0),0)-1),"")</f>
        <v/>
      </c>
      <c r="V712">
        <f>IF(AND(T712&lt;&gt;"",U712&lt;&gt;""),IF(U712-T712&lt;=0,"Falls Short",U712-T712),"")</f>
        <v/>
      </c>
      <c r="W712">
        <f>IF(AND(R712&lt;&gt;"",V712&lt;&gt;"Falls Short"),20*V712,"")</f>
        <v/>
      </c>
    </row>
    <row r="713">
      <c r="Q713">
        <f>LEFT(I713,9)</f>
        <v/>
      </c>
      <c r="R713">
        <f>TRIM(B713)</f>
        <v/>
      </c>
      <c r="S713">
        <f>COUNTIF($X$1:$X$9,R713) &gt; 0</f>
        <v/>
      </c>
      <c r="T713">
        <f>IF(AND(S713=FALSE,LEN(R713)&gt;2),4,IF(S713=TRUE,INDEX($Y$1:$Y$9,MATCH(R713,$X$1:$X$9,0)),""))</f>
        <v/>
      </c>
      <c r="U713">
        <f>IF(R713&lt;&gt;"",IF(Q718="",0,MATCH(TRUE,INDEX(Q718:$Q$1100="",0),0)-1),"")</f>
        <v/>
      </c>
      <c r="V713">
        <f>IF(AND(T713&lt;&gt;"",U713&lt;&gt;""),IF(U713-T713&lt;=0,"Falls Short",U713-T713),"")</f>
        <v/>
      </c>
      <c r="W713">
        <f>IF(AND(R713&lt;&gt;"",V713&lt;&gt;"Falls Short"),20*V713,"")</f>
        <v/>
      </c>
    </row>
    <row r="714">
      <c r="Q714">
        <f>LEFT(I714,9)</f>
        <v/>
      </c>
      <c r="R714">
        <f>TRIM(B714)</f>
        <v/>
      </c>
      <c r="S714">
        <f>COUNTIF($X$1:$X$9,R714) &gt; 0</f>
        <v/>
      </c>
      <c r="T714">
        <f>IF(AND(S714=FALSE,LEN(R714)&gt;2),4,IF(S714=TRUE,INDEX($Y$1:$Y$9,MATCH(R714,$X$1:$X$9,0)),""))</f>
        <v/>
      </c>
      <c r="U714">
        <f>IF(R714&lt;&gt;"",IF(Q719="",0,MATCH(TRUE,INDEX(Q719:$Q$1100="",0),0)-1),"")</f>
        <v/>
      </c>
      <c r="V714">
        <f>IF(AND(T714&lt;&gt;"",U714&lt;&gt;""),IF(U714-T714&lt;=0,"Falls Short",U714-T714),"")</f>
        <v/>
      </c>
      <c r="W714">
        <f>IF(AND(R714&lt;&gt;"",V714&lt;&gt;"Falls Short"),20*V714,"")</f>
        <v/>
      </c>
    </row>
    <row r="715">
      <c r="Q715">
        <f>LEFT(I715,9)</f>
        <v/>
      </c>
      <c r="R715">
        <f>TRIM(B715)</f>
        <v/>
      </c>
      <c r="S715">
        <f>COUNTIF($X$1:$X$9,R715) &gt; 0</f>
        <v/>
      </c>
      <c r="T715">
        <f>IF(AND(S715=FALSE,LEN(R715)&gt;2),4,IF(S715=TRUE,INDEX($Y$1:$Y$9,MATCH(R715,$X$1:$X$9,0)),""))</f>
        <v/>
      </c>
      <c r="U715">
        <f>IF(R715&lt;&gt;"",IF(Q720="",0,MATCH(TRUE,INDEX(Q720:$Q$1100="",0),0)-1),"")</f>
        <v/>
      </c>
      <c r="V715">
        <f>IF(AND(T715&lt;&gt;"",U715&lt;&gt;""),IF(U715-T715&lt;=0,"Falls Short",U715-T715),"")</f>
        <v/>
      </c>
      <c r="W715">
        <f>IF(AND(R715&lt;&gt;"",V715&lt;&gt;"Falls Short"),20*V715,"")</f>
        <v/>
      </c>
    </row>
    <row r="716">
      <c r="Q716">
        <f>LEFT(I716,9)</f>
        <v/>
      </c>
      <c r="R716">
        <f>TRIM(B716)</f>
        <v/>
      </c>
      <c r="S716">
        <f>COUNTIF($X$1:$X$9,R716) &gt; 0</f>
        <v/>
      </c>
      <c r="T716">
        <f>IF(AND(S716=FALSE,LEN(R716)&gt;2),4,IF(S716=TRUE,INDEX($Y$1:$Y$9,MATCH(R716,$X$1:$X$9,0)),""))</f>
        <v/>
      </c>
      <c r="U716">
        <f>IF(R716&lt;&gt;"",IF(Q721="",0,MATCH(TRUE,INDEX(Q721:$Q$1100="",0),0)-1),"")</f>
        <v/>
      </c>
      <c r="V716">
        <f>IF(AND(T716&lt;&gt;"",U716&lt;&gt;""),IF(U716-T716&lt;=0,"Falls Short",U716-T716),"")</f>
        <v/>
      </c>
      <c r="W716">
        <f>IF(AND(R716&lt;&gt;"",V716&lt;&gt;"Falls Short"),20*V716,"")</f>
        <v/>
      </c>
    </row>
    <row r="717">
      <c r="Q717">
        <f>LEFT(I717,9)</f>
        <v/>
      </c>
      <c r="R717">
        <f>TRIM(B717)</f>
        <v/>
      </c>
      <c r="S717">
        <f>COUNTIF($X$1:$X$9,R717) &gt; 0</f>
        <v/>
      </c>
      <c r="T717">
        <f>IF(AND(S717=FALSE,LEN(R717)&gt;2),4,IF(S717=TRUE,INDEX($Y$1:$Y$9,MATCH(R717,$X$1:$X$9,0)),""))</f>
        <v/>
      </c>
      <c r="U717">
        <f>IF(R717&lt;&gt;"",IF(Q722="",0,MATCH(TRUE,INDEX(Q722:$Q$1100="",0),0)-1),"")</f>
        <v/>
      </c>
      <c r="V717">
        <f>IF(AND(T717&lt;&gt;"",U717&lt;&gt;""),IF(U717-T717&lt;=0,"Falls Short",U717-T717),"")</f>
        <v/>
      </c>
      <c r="W717">
        <f>IF(AND(R717&lt;&gt;"",V717&lt;&gt;"Falls Short"),20*V717,"")</f>
        <v/>
      </c>
    </row>
    <row r="718">
      <c r="Q718">
        <f>LEFT(I718,9)</f>
        <v/>
      </c>
      <c r="R718">
        <f>TRIM(B718)</f>
        <v/>
      </c>
      <c r="S718">
        <f>COUNTIF($X$1:$X$9,R718) &gt; 0</f>
        <v/>
      </c>
      <c r="T718">
        <f>IF(AND(S718=FALSE,LEN(R718)&gt;2),4,IF(S718=TRUE,INDEX($Y$1:$Y$9,MATCH(R718,$X$1:$X$9,0)),""))</f>
        <v/>
      </c>
      <c r="U718">
        <f>IF(R718&lt;&gt;"",IF(Q723="",0,MATCH(TRUE,INDEX(Q723:$Q$1100="",0),0)-1),"")</f>
        <v/>
      </c>
      <c r="V718">
        <f>IF(AND(T718&lt;&gt;"",U718&lt;&gt;""),IF(U718-T718&lt;=0,"Falls Short",U718-T718),"")</f>
        <v/>
      </c>
      <c r="W718">
        <f>IF(AND(R718&lt;&gt;"",V718&lt;&gt;"Falls Short"),20*V718,"")</f>
        <v/>
      </c>
    </row>
    <row r="719">
      <c r="Q719">
        <f>LEFT(I719,9)</f>
        <v/>
      </c>
      <c r="R719">
        <f>TRIM(B719)</f>
        <v/>
      </c>
      <c r="S719">
        <f>COUNTIF($X$1:$X$9,R719) &gt; 0</f>
        <v/>
      </c>
      <c r="T719">
        <f>IF(AND(S719=FALSE,LEN(R719)&gt;2),4,IF(S719=TRUE,INDEX($Y$1:$Y$9,MATCH(R719,$X$1:$X$9,0)),""))</f>
        <v/>
      </c>
      <c r="U719">
        <f>IF(R719&lt;&gt;"",IF(Q724="",0,MATCH(TRUE,INDEX(Q724:$Q$1100="",0),0)-1),"")</f>
        <v/>
      </c>
      <c r="V719">
        <f>IF(AND(T719&lt;&gt;"",U719&lt;&gt;""),IF(U719-T719&lt;=0,"Falls Short",U719-T719),"")</f>
        <v/>
      </c>
      <c r="W719">
        <f>IF(AND(R719&lt;&gt;"",V719&lt;&gt;"Falls Short"),20*V719,"")</f>
        <v/>
      </c>
    </row>
    <row r="720">
      <c r="Q720">
        <f>LEFT(I720,9)</f>
        <v/>
      </c>
      <c r="R720">
        <f>TRIM(B720)</f>
        <v/>
      </c>
      <c r="S720">
        <f>COUNTIF($X$1:$X$9,R720) &gt; 0</f>
        <v/>
      </c>
      <c r="T720">
        <f>IF(AND(S720=FALSE,LEN(R720)&gt;2),4,IF(S720=TRUE,INDEX($Y$1:$Y$9,MATCH(R720,$X$1:$X$9,0)),""))</f>
        <v/>
      </c>
      <c r="U720">
        <f>IF(R720&lt;&gt;"",IF(Q725="",0,MATCH(TRUE,INDEX(Q725:$Q$1100="",0),0)-1),"")</f>
        <v/>
      </c>
      <c r="V720">
        <f>IF(AND(T720&lt;&gt;"",U720&lt;&gt;""),IF(U720-T720&lt;=0,"Falls Short",U720-T720),"")</f>
        <v/>
      </c>
      <c r="W720">
        <f>IF(AND(R720&lt;&gt;"",V720&lt;&gt;"Falls Short"),20*V720,"")</f>
        <v/>
      </c>
    </row>
    <row r="721">
      <c r="Q721">
        <f>LEFT(I721,9)</f>
        <v/>
      </c>
      <c r="R721">
        <f>TRIM(B721)</f>
        <v/>
      </c>
      <c r="S721">
        <f>COUNTIF($X$1:$X$9,R721) &gt; 0</f>
        <v/>
      </c>
      <c r="T721">
        <f>IF(AND(S721=FALSE,LEN(R721)&gt;2),4,IF(S721=TRUE,INDEX($Y$1:$Y$9,MATCH(R721,$X$1:$X$9,0)),""))</f>
        <v/>
      </c>
      <c r="U721">
        <f>IF(R721&lt;&gt;"",IF(Q726="",0,MATCH(TRUE,INDEX(Q726:$Q$1100="",0),0)-1),"")</f>
        <v/>
      </c>
      <c r="V721">
        <f>IF(AND(T721&lt;&gt;"",U721&lt;&gt;""),IF(U721-T721&lt;=0,"Falls Short",U721-T721),"")</f>
        <v/>
      </c>
      <c r="W721">
        <f>IF(AND(R721&lt;&gt;"",V721&lt;&gt;"Falls Short"),20*V721,"")</f>
        <v/>
      </c>
    </row>
    <row r="722">
      <c r="Q722">
        <f>LEFT(I722,9)</f>
        <v/>
      </c>
      <c r="R722">
        <f>TRIM(B722)</f>
        <v/>
      </c>
      <c r="S722">
        <f>COUNTIF($X$1:$X$9,R722) &gt; 0</f>
        <v/>
      </c>
      <c r="T722">
        <f>IF(AND(S722=FALSE,LEN(R722)&gt;2),4,IF(S722=TRUE,INDEX($Y$1:$Y$9,MATCH(R722,$X$1:$X$9,0)),""))</f>
        <v/>
      </c>
      <c r="U722">
        <f>IF(R722&lt;&gt;"",IF(Q727="",0,MATCH(TRUE,INDEX(Q727:$Q$1100="",0),0)-1),"")</f>
        <v/>
      </c>
      <c r="V722">
        <f>IF(AND(T722&lt;&gt;"",U722&lt;&gt;""),IF(U722-T722&lt;=0,"Falls Short",U722-T722),"")</f>
        <v/>
      </c>
      <c r="W722">
        <f>IF(AND(R722&lt;&gt;"",V722&lt;&gt;"Falls Short"),20*V722,"")</f>
        <v/>
      </c>
    </row>
    <row r="723">
      <c r="Q723">
        <f>LEFT(I723,9)</f>
        <v/>
      </c>
      <c r="R723">
        <f>TRIM(B723)</f>
        <v/>
      </c>
      <c r="S723">
        <f>COUNTIF($X$1:$X$9,R723) &gt; 0</f>
        <v/>
      </c>
      <c r="T723">
        <f>IF(AND(S723=FALSE,LEN(R723)&gt;2),4,IF(S723=TRUE,INDEX($Y$1:$Y$9,MATCH(R723,$X$1:$X$9,0)),""))</f>
        <v/>
      </c>
      <c r="U723">
        <f>IF(R723&lt;&gt;"",IF(Q728="",0,MATCH(TRUE,INDEX(Q728:$Q$1100="",0),0)-1),"")</f>
        <v/>
      </c>
      <c r="V723">
        <f>IF(AND(T723&lt;&gt;"",U723&lt;&gt;""),IF(U723-T723&lt;=0,"Falls Short",U723-T723),"")</f>
        <v/>
      </c>
      <c r="W723">
        <f>IF(AND(R723&lt;&gt;"",V723&lt;&gt;"Falls Short"),20*V723,"")</f>
        <v/>
      </c>
    </row>
    <row r="724">
      <c r="Q724">
        <f>LEFT(I724,9)</f>
        <v/>
      </c>
      <c r="R724">
        <f>TRIM(B724)</f>
        <v/>
      </c>
      <c r="S724">
        <f>COUNTIF($X$1:$X$9,R724) &gt; 0</f>
        <v/>
      </c>
      <c r="T724">
        <f>IF(AND(S724=FALSE,LEN(R724)&gt;2),4,IF(S724=TRUE,INDEX($Y$1:$Y$9,MATCH(R724,$X$1:$X$9,0)),""))</f>
        <v/>
      </c>
      <c r="U724">
        <f>IF(R724&lt;&gt;"",IF(Q729="",0,MATCH(TRUE,INDEX(Q729:$Q$1100="",0),0)-1),"")</f>
        <v/>
      </c>
      <c r="V724">
        <f>IF(AND(T724&lt;&gt;"",U724&lt;&gt;""),IF(U724-T724&lt;=0,"Falls Short",U724-T724),"")</f>
        <v/>
      </c>
      <c r="W724">
        <f>IF(AND(R724&lt;&gt;"",V724&lt;&gt;"Falls Short"),20*V724,"")</f>
        <v/>
      </c>
    </row>
    <row r="725">
      <c r="Q725">
        <f>LEFT(I725,9)</f>
        <v/>
      </c>
      <c r="R725">
        <f>TRIM(B725)</f>
        <v/>
      </c>
      <c r="S725">
        <f>COUNTIF($X$1:$X$9,R725) &gt; 0</f>
        <v/>
      </c>
      <c r="T725">
        <f>IF(AND(S725=FALSE,LEN(R725)&gt;2),4,IF(S725=TRUE,INDEX($Y$1:$Y$9,MATCH(R725,$X$1:$X$9,0)),""))</f>
        <v/>
      </c>
      <c r="U725">
        <f>IF(R725&lt;&gt;"",IF(Q730="",0,MATCH(TRUE,INDEX(Q730:$Q$1100="",0),0)-1),"")</f>
        <v/>
      </c>
      <c r="V725">
        <f>IF(AND(T725&lt;&gt;"",U725&lt;&gt;""),IF(U725-T725&lt;=0,"Falls Short",U725-T725),"")</f>
        <v/>
      </c>
      <c r="W725">
        <f>IF(AND(R725&lt;&gt;"",V725&lt;&gt;"Falls Short"),20*V725,"")</f>
        <v/>
      </c>
    </row>
    <row r="726">
      <c r="Q726">
        <f>LEFT(I726,9)</f>
        <v/>
      </c>
      <c r="R726">
        <f>TRIM(B726)</f>
        <v/>
      </c>
      <c r="S726">
        <f>COUNTIF($X$1:$X$9,R726) &gt; 0</f>
        <v/>
      </c>
      <c r="T726">
        <f>IF(AND(S726=FALSE,LEN(R726)&gt;2),4,IF(S726=TRUE,INDEX($Y$1:$Y$9,MATCH(R726,$X$1:$X$9,0)),""))</f>
        <v/>
      </c>
      <c r="U726">
        <f>IF(R726&lt;&gt;"",IF(Q731="",0,MATCH(TRUE,INDEX(Q731:$Q$1100="",0),0)-1),"")</f>
        <v/>
      </c>
      <c r="V726">
        <f>IF(AND(T726&lt;&gt;"",U726&lt;&gt;""),IF(U726-T726&lt;=0,"Falls Short",U726-T726),"")</f>
        <v/>
      </c>
      <c r="W726">
        <f>IF(AND(R726&lt;&gt;"",V726&lt;&gt;"Falls Short"),20*V726,"")</f>
        <v/>
      </c>
    </row>
    <row r="727">
      <c r="Q727">
        <f>LEFT(I727,9)</f>
        <v/>
      </c>
      <c r="R727">
        <f>TRIM(B727)</f>
        <v/>
      </c>
      <c r="S727">
        <f>COUNTIF($X$1:$X$9,R727) &gt; 0</f>
        <v/>
      </c>
      <c r="T727">
        <f>IF(AND(S727=FALSE,LEN(R727)&gt;2),4,IF(S727=TRUE,INDEX($Y$1:$Y$9,MATCH(R727,$X$1:$X$9,0)),""))</f>
        <v/>
      </c>
      <c r="U727">
        <f>IF(R727&lt;&gt;"",IF(Q732="",0,MATCH(TRUE,INDEX(Q732:$Q$1100="",0),0)-1),"")</f>
        <v/>
      </c>
      <c r="V727">
        <f>IF(AND(T727&lt;&gt;"",U727&lt;&gt;""),IF(U727-T727&lt;=0,"Falls Short",U727-T727),"")</f>
        <v/>
      </c>
      <c r="W727">
        <f>IF(AND(R727&lt;&gt;"",V727&lt;&gt;"Falls Short"),20*V727,"")</f>
        <v/>
      </c>
    </row>
    <row r="728">
      <c r="Q728">
        <f>LEFT(I728,9)</f>
        <v/>
      </c>
      <c r="R728">
        <f>TRIM(B728)</f>
        <v/>
      </c>
      <c r="S728">
        <f>COUNTIF($X$1:$X$9,R728) &gt; 0</f>
        <v/>
      </c>
      <c r="T728">
        <f>IF(AND(S728=FALSE,LEN(R728)&gt;2),4,IF(S728=TRUE,INDEX($Y$1:$Y$9,MATCH(R728,$X$1:$X$9,0)),""))</f>
        <v/>
      </c>
      <c r="U728">
        <f>IF(R728&lt;&gt;"",IF(Q733="",0,MATCH(TRUE,INDEX(Q733:$Q$1100="",0),0)-1),"")</f>
        <v/>
      </c>
      <c r="V728">
        <f>IF(AND(T728&lt;&gt;"",U728&lt;&gt;""),IF(U728-T728&lt;=0,"Falls Short",U728-T728),"")</f>
        <v/>
      </c>
      <c r="W728">
        <f>IF(AND(R728&lt;&gt;"",V728&lt;&gt;"Falls Short"),20*V728,"")</f>
        <v/>
      </c>
    </row>
    <row r="729">
      <c r="Q729">
        <f>LEFT(I729,9)</f>
        <v/>
      </c>
      <c r="R729">
        <f>TRIM(B729)</f>
        <v/>
      </c>
      <c r="S729">
        <f>COUNTIF($X$1:$X$9,R729) &gt; 0</f>
        <v/>
      </c>
      <c r="T729">
        <f>IF(AND(S729=FALSE,LEN(R729)&gt;2),4,IF(S729=TRUE,INDEX($Y$1:$Y$9,MATCH(R729,$X$1:$X$9,0)),""))</f>
        <v/>
      </c>
      <c r="U729">
        <f>IF(R729&lt;&gt;"",IF(Q734="",0,MATCH(TRUE,INDEX(Q734:$Q$1100="",0),0)-1),"")</f>
        <v/>
      </c>
      <c r="V729">
        <f>IF(AND(T729&lt;&gt;"",U729&lt;&gt;""),IF(U729-T729&lt;=0,"Falls Short",U729-T729),"")</f>
        <v/>
      </c>
      <c r="W729">
        <f>IF(AND(R729&lt;&gt;"",V729&lt;&gt;"Falls Short"),20*V729,"")</f>
        <v/>
      </c>
    </row>
    <row r="730">
      <c r="Q730">
        <f>LEFT(I730,9)</f>
        <v/>
      </c>
      <c r="R730">
        <f>TRIM(B730)</f>
        <v/>
      </c>
      <c r="S730">
        <f>COUNTIF($X$1:$X$9,R730) &gt; 0</f>
        <v/>
      </c>
      <c r="T730">
        <f>IF(AND(S730=FALSE,LEN(R730)&gt;2),4,IF(S730=TRUE,INDEX($Y$1:$Y$9,MATCH(R730,$X$1:$X$9,0)),""))</f>
        <v/>
      </c>
      <c r="U730">
        <f>IF(R730&lt;&gt;"",IF(Q735="",0,MATCH(TRUE,INDEX(Q735:$Q$1100="",0),0)-1),"")</f>
        <v/>
      </c>
      <c r="V730">
        <f>IF(AND(T730&lt;&gt;"",U730&lt;&gt;""),IF(U730-T730&lt;=0,"Falls Short",U730-T730),"")</f>
        <v/>
      </c>
      <c r="W730">
        <f>IF(AND(R730&lt;&gt;"",V730&lt;&gt;"Falls Short"),20*V730,"")</f>
        <v/>
      </c>
    </row>
    <row r="731">
      <c r="Q731">
        <f>LEFT(I731,9)</f>
        <v/>
      </c>
      <c r="R731">
        <f>TRIM(B731)</f>
        <v/>
      </c>
      <c r="S731">
        <f>COUNTIF($X$1:$X$9,R731) &gt; 0</f>
        <v/>
      </c>
      <c r="T731">
        <f>IF(AND(S731=FALSE,LEN(R731)&gt;2),4,IF(S731=TRUE,INDEX($Y$1:$Y$9,MATCH(R731,$X$1:$X$9,0)),""))</f>
        <v/>
      </c>
      <c r="U731">
        <f>IF(R731&lt;&gt;"",IF(Q736="",0,MATCH(TRUE,INDEX(Q736:$Q$1100="",0),0)-1),"")</f>
        <v/>
      </c>
      <c r="V731">
        <f>IF(AND(T731&lt;&gt;"",U731&lt;&gt;""),IF(U731-T731&lt;=0,"Falls Short",U731-T731),"")</f>
        <v/>
      </c>
      <c r="W731">
        <f>IF(AND(R731&lt;&gt;"",V731&lt;&gt;"Falls Short"),20*V731,"")</f>
        <v/>
      </c>
    </row>
    <row r="732">
      <c r="Q732">
        <f>LEFT(I732,9)</f>
        <v/>
      </c>
      <c r="R732">
        <f>TRIM(B732)</f>
        <v/>
      </c>
      <c r="S732">
        <f>COUNTIF($X$1:$X$9,R732) &gt; 0</f>
        <v/>
      </c>
      <c r="T732">
        <f>IF(AND(S732=FALSE,LEN(R732)&gt;2),4,IF(S732=TRUE,INDEX($Y$1:$Y$9,MATCH(R732,$X$1:$X$9,0)),""))</f>
        <v/>
      </c>
      <c r="U732">
        <f>IF(R732&lt;&gt;"",IF(Q737="",0,MATCH(TRUE,INDEX(Q737:$Q$1100="",0),0)-1),"")</f>
        <v/>
      </c>
      <c r="V732">
        <f>IF(AND(T732&lt;&gt;"",U732&lt;&gt;""),IF(U732-T732&lt;=0,"Falls Short",U732-T732),"")</f>
        <v/>
      </c>
      <c r="W732">
        <f>IF(AND(R732&lt;&gt;"",V732&lt;&gt;"Falls Short"),20*V732,"")</f>
        <v/>
      </c>
    </row>
    <row r="733">
      <c r="Q733">
        <f>LEFT(I733,9)</f>
        <v/>
      </c>
      <c r="R733">
        <f>TRIM(B733)</f>
        <v/>
      </c>
      <c r="S733">
        <f>COUNTIF($X$1:$X$9,R733) &gt; 0</f>
        <v/>
      </c>
      <c r="T733">
        <f>IF(AND(S733=FALSE,LEN(R733)&gt;2),4,IF(S733=TRUE,INDEX($Y$1:$Y$9,MATCH(R733,$X$1:$X$9,0)),""))</f>
        <v/>
      </c>
      <c r="U733">
        <f>IF(R733&lt;&gt;"",IF(Q738="",0,MATCH(TRUE,INDEX(Q738:$Q$1100="",0),0)-1),"")</f>
        <v/>
      </c>
      <c r="V733">
        <f>IF(AND(T733&lt;&gt;"",U733&lt;&gt;""),IF(U733-T733&lt;=0,"Falls Short",U733-T733),"")</f>
        <v/>
      </c>
      <c r="W733">
        <f>IF(AND(R733&lt;&gt;"",V733&lt;&gt;"Falls Short"),20*V733,"")</f>
        <v/>
      </c>
    </row>
    <row r="734">
      <c r="Q734">
        <f>LEFT(I734,9)</f>
        <v/>
      </c>
      <c r="R734">
        <f>TRIM(B734)</f>
        <v/>
      </c>
      <c r="S734">
        <f>COUNTIF($X$1:$X$9,R734) &gt; 0</f>
        <v/>
      </c>
      <c r="T734">
        <f>IF(AND(S734=FALSE,LEN(R734)&gt;2),4,IF(S734=TRUE,INDEX($Y$1:$Y$9,MATCH(R734,$X$1:$X$9,0)),""))</f>
        <v/>
      </c>
      <c r="U734">
        <f>IF(R734&lt;&gt;"",IF(Q739="",0,MATCH(TRUE,INDEX(Q739:$Q$1100="",0),0)-1),"")</f>
        <v/>
      </c>
      <c r="V734">
        <f>IF(AND(T734&lt;&gt;"",U734&lt;&gt;""),IF(U734-T734&lt;=0,"Falls Short",U734-T734),"")</f>
        <v/>
      </c>
      <c r="W734">
        <f>IF(AND(R734&lt;&gt;"",V734&lt;&gt;"Falls Short"),20*V734,"")</f>
        <v/>
      </c>
    </row>
    <row r="735">
      <c r="Q735">
        <f>LEFT(I735,9)</f>
        <v/>
      </c>
      <c r="R735">
        <f>TRIM(B735)</f>
        <v/>
      </c>
      <c r="S735">
        <f>COUNTIF($X$1:$X$9,R735) &gt; 0</f>
        <v/>
      </c>
      <c r="T735">
        <f>IF(AND(S735=FALSE,LEN(R735)&gt;2),4,IF(S735=TRUE,INDEX($Y$1:$Y$9,MATCH(R735,$X$1:$X$9,0)),""))</f>
        <v/>
      </c>
      <c r="U735">
        <f>IF(R735&lt;&gt;"",IF(Q740="",0,MATCH(TRUE,INDEX(Q740:$Q$1100="",0),0)-1),"")</f>
        <v/>
      </c>
      <c r="V735">
        <f>IF(AND(T735&lt;&gt;"",U735&lt;&gt;""),IF(U735-T735&lt;=0,"Falls Short",U735-T735),"")</f>
        <v/>
      </c>
      <c r="W735">
        <f>IF(AND(R735&lt;&gt;"",V735&lt;&gt;"Falls Short"),20*V735,"")</f>
        <v/>
      </c>
    </row>
    <row r="736">
      <c r="Q736">
        <f>LEFT(I736,9)</f>
        <v/>
      </c>
      <c r="R736">
        <f>TRIM(B736)</f>
        <v/>
      </c>
      <c r="S736">
        <f>COUNTIF($X$1:$X$9,R736) &gt; 0</f>
        <v/>
      </c>
      <c r="T736">
        <f>IF(AND(S736=FALSE,LEN(R736)&gt;2),4,IF(S736=TRUE,INDEX($Y$1:$Y$9,MATCH(R736,$X$1:$X$9,0)),""))</f>
        <v/>
      </c>
      <c r="U736">
        <f>IF(R736&lt;&gt;"",IF(Q741="",0,MATCH(TRUE,INDEX(Q741:$Q$1100="",0),0)-1),"")</f>
        <v/>
      </c>
      <c r="V736">
        <f>IF(AND(T736&lt;&gt;"",U736&lt;&gt;""),IF(U736-T736&lt;=0,"Falls Short",U736-T736),"")</f>
        <v/>
      </c>
      <c r="W736">
        <f>IF(AND(R736&lt;&gt;"",V736&lt;&gt;"Falls Short"),20*V736,"")</f>
        <v/>
      </c>
    </row>
    <row r="737">
      <c r="Q737">
        <f>LEFT(I737,9)</f>
        <v/>
      </c>
      <c r="R737">
        <f>TRIM(B737)</f>
        <v/>
      </c>
      <c r="S737">
        <f>COUNTIF($X$1:$X$9,R737) &gt; 0</f>
        <v/>
      </c>
      <c r="T737">
        <f>IF(AND(S737=FALSE,LEN(R737)&gt;2),4,IF(S737=TRUE,INDEX($Y$1:$Y$9,MATCH(R737,$X$1:$X$9,0)),""))</f>
        <v/>
      </c>
      <c r="U737">
        <f>IF(R737&lt;&gt;"",IF(Q742="",0,MATCH(TRUE,INDEX(Q742:$Q$1100="",0),0)-1),"")</f>
        <v/>
      </c>
      <c r="V737">
        <f>IF(AND(T737&lt;&gt;"",U737&lt;&gt;""),IF(U737-T737&lt;=0,"Falls Short",U737-T737),"")</f>
        <v/>
      </c>
      <c r="W737">
        <f>IF(AND(R737&lt;&gt;"",V737&lt;&gt;"Falls Short"),20*V737,"")</f>
        <v/>
      </c>
    </row>
    <row r="738">
      <c r="Q738">
        <f>LEFT(I738,9)</f>
        <v/>
      </c>
      <c r="R738">
        <f>TRIM(B738)</f>
        <v/>
      </c>
      <c r="S738">
        <f>COUNTIF($X$1:$X$9,R738) &gt; 0</f>
        <v/>
      </c>
      <c r="T738">
        <f>IF(AND(S738=FALSE,LEN(R738)&gt;2),4,IF(S738=TRUE,INDEX($Y$1:$Y$9,MATCH(R738,$X$1:$X$9,0)),""))</f>
        <v/>
      </c>
      <c r="U738">
        <f>IF(R738&lt;&gt;"",IF(Q743="",0,MATCH(TRUE,INDEX(Q743:$Q$1100="",0),0)-1),"")</f>
        <v/>
      </c>
      <c r="V738">
        <f>IF(AND(T738&lt;&gt;"",U738&lt;&gt;""),IF(U738-T738&lt;=0,"Falls Short",U738-T738),"")</f>
        <v/>
      </c>
      <c r="W738">
        <f>IF(AND(R738&lt;&gt;"",V738&lt;&gt;"Falls Short"),20*V738,"")</f>
        <v/>
      </c>
    </row>
    <row r="739">
      <c r="Q739">
        <f>LEFT(I739,9)</f>
        <v/>
      </c>
      <c r="R739">
        <f>TRIM(B739)</f>
        <v/>
      </c>
      <c r="S739">
        <f>COUNTIF($X$1:$X$9,R739) &gt; 0</f>
        <v/>
      </c>
      <c r="T739">
        <f>IF(AND(S739=FALSE,LEN(R739)&gt;2),4,IF(S739=TRUE,INDEX($Y$1:$Y$9,MATCH(R739,$X$1:$X$9,0)),""))</f>
        <v/>
      </c>
      <c r="U739">
        <f>IF(R739&lt;&gt;"",IF(Q744="",0,MATCH(TRUE,INDEX(Q744:$Q$1100="",0),0)-1),"")</f>
        <v/>
      </c>
      <c r="V739">
        <f>IF(AND(T739&lt;&gt;"",U739&lt;&gt;""),IF(U739-T739&lt;=0,"Falls Short",U739-T739),"")</f>
        <v/>
      </c>
      <c r="W739">
        <f>IF(AND(R739&lt;&gt;"",V739&lt;&gt;"Falls Short"),20*V739,"")</f>
        <v/>
      </c>
    </row>
    <row r="740">
      <c r="Q740">
        <f>LEFT(I740,9)</f>
        <v/>
      </c>
      <c r="R740">
        <f>TRIM(B740)</f>
        <v/>
      </c>
      <c r="S740">
        <f>COUNTIF($X$1:$X$9,R740) &gt; 0</f>
        <v/>
      </c>
      <c r="T740">
        <f>IF(AND(S740=FALSE,LEN(R740)&gt;2),4,IF(S740=TRUE,INDEX($Y$1:$Y$9,MATCH(R740,$X$1:$X$9,0)),""))</f>
        <v/>
      </c>
      <c r="U740">
        <f>IF(R740&lt;&gt;"",IF(Q745="",0,MATCH(TRUE,INDEX(Q745:$Q$1100="",0),0)-1),"")</f>
        <v/>
      </c>
      <c r="V740">
        <f>IF(AND(T740&lt;&gt;"",U740&lt;&gt;""),IF(U740-T740&lt;=0,"Falls Short",U740-T740),"")</f>
        <v/>
      </c>
      <c r="W740">
        <f>IF(AND(R740&lt;&gt;"",V740&lt;&gt;"Falls Short"),20*V740,"")</f>
        <v/>
      </c>
    </row>
    <row r="741">
      <c r="Q741">
        <f>LEFT(I741,9)</f>
        <v/>
      </c>
      <c r="R741">
        <f>TRIM(B741)</f>
        <v/>
      </c>
      <c r="S741">
        <f>COUNTIF($X$1:$X$9,R741) &gt; 0</f>
        <v/>
      </c>
      <c r="T741">
        <f>IF(AND(S741=FALSE,LEN(R741)&gt;2),4,IF(S741=TRUE,INDEX($Y$1:$Y$9,MATCH(R741,$X$1:$X$9,0)),""))</f>
        <v/>
      </c>
      <c r="U741">
        <f>IF(R741&lt;&gt;"",IF(Q746="",0,MATCH(TRUE,INDEX(Q746:$Q$1100="",0),0)-1),"")</f>
        <v/>
      </c>
      <c r="V741">
        <f>IF(AND(T741&lt;&gt;"",U741&lt;&gt;""),IF(U741-T741&lt;=0,"Falls Short",U741-T741),"")</f>
        <v/>
      </c>
      <c r="W741">
        <f>IF(AND(R741&lt;&gt;"",V741&lt;&gt;"Falls Short"),20*V741,"")</f>
        <v/>
      </c>
    </row>
    <row r="742">
      <c r="Q742">
        <f>LEFT(I742,9)</f>
        <v/>
      </c>
      <c r="R742">
        <f>TRIM(B742)</f>
        <v/>
      </c>
      <c r="S742">
        <f>COUNTIF($X$1:$X$9,R742) &gt; 0</f>
        <v/>
      </c>
      <c r="T742">
        <f>IF(AND(S742=FALSE,LEN(R742)&gt;2),4,IF(S742=TRUE,INDEX($Y$1:$Y$9,MATCH(R742,$X$1:$X$9,0)),""))</f>
        <v/>
      </c>
      <c r="U742">
        <f>IF(R742&lt;&gt;"",IF(Q747="",0,MATCH(TRUE,INDEX(Q747:$Q$1100="",0),0)-1),"")</f>
        <v/>
      </c>
      <c r="V742">
        <f>IF(AND(T742&lt;&gt;"",U742&lt;&gt;""),IF(U742-T742&lt;=0,"Falls Short",U742-T742),"")</f>
        <v/>
      </c>
      <c r="W742">
        <f>IF(AND(R742&lt;&gt;"",V742&lt;&gt;"Falls Short"),20*V742,"")</f>
        <v/>
      </c>
    </row>
    <row r="743">
      <c r="Q743">
        <f>LEFT(I743,9)</f>
        <v/>
      </c>
      <c r="R743">
        <f>TRIM(B743)</f>
        <v/>
      </c>
      <c r="S743">
        <f>COUNTIF($X$1:$X$9,R743) &gt; 0</f>
        <v/>
      </c>
      <c r="T743">
        <f>IF(AND(S743=FALSE,LEN(R743)&gt;2),4,IF(S743=TRUE,INDEX($Y$1:$Y$9,MATCH(R743,$X$1:$X$9,0)),""))</f>
        <v/>
      </c>
      <c r="U743">
        <f>IF(R743&lt;&gt;"",IF(Q748="",0,MATCH(TRUE,INDEX(Q748:$Q$1100="",0),0)-1),"")</f>
        <v/>
      </c>
      <c r="V743">
        <f>IF(AND(T743&lt;&gt;"",U743&lt;&gt;""),IF(U743-T743&lt;=0,"Falls Short",U743-T743),"")</f>
        <v/>
      </c>
      <c r="W743">
        <f>IF(AND(R743&lt;&gt;"",V743&lt;&gt;"Falls Short"),20*V743,"")</f>
        <v/>
      </c>
    </row>
    <row r="744">
      <c r="Q744">
        <f>LEFT(I744,9)</f>
        <v/>
      </c>
      <c r="R744">
        <f>TRIM(B744)</f>
        <v/>
      </c>
      <c r="S744">
        <f>COUNTIF($X$1:$X$9,R744) &gt; 0</f>
        <v/>
      </c>
      <c r="T744">
        <f>IF(AND(S744=FALSE,LEN(R744)&gt;2),4,IF(S744=TRUE,INDEX($Y$1:$Y$9,MATCH(R744,$X$1:$X$9,0)),""))</f>
        <v/>
      </c>
      <c r="U744">
        <f>IF(R744&lt;&gt;"",IF(Q749="",0,MATCH(TRUE,INDEX(Q749:$Q$1100="",0),0)-1),"")</f>
        <v/>
      </c>
      <c r="V744">
        <f>IF(AND(T744&lt;&gt;"",U744&lt;&gt;""),IF(U744-T744&lt;=0,"Falls Short",U744-T744),"")</f>
        <v/>
      </c>
      <c r="W744">
        <f>IF(AND(R744&lt;&gt;"",V744&lt;&gt;"Falls Short"),20*V744,"")</f>
        <v/>
      </c>
    </row>
    <row r="745">
      <c r="Q745">
        <f>LEFT(I745,9)</f>
        <v/>
      </c>
      <c r="R745">
        <f>TRIM(B745)</f>
        <v/>
      </c>
      <c r="S745">
        <f>COUNTIF($X$1:$X$9,R745) &gt; 0</f>
        <v/>
      </c>
      <c r="T745">
        <f>IF(AND(S745=FALSE,LEN(R745)&gt;2),4,IF(S745=TRUE,INDEX($Y$1:$Y$9,MATCH(R745,$X$1:$X$9,0)),""))</f>
        <v/>
      </c>
      <c r="U745">
        <f>IF(R745&lt;&gt;"",IF(Q750="",0,MATCH(TRUE,INDEX(Q750:$Q$1100="",0),0)-1),"")</f>
        <v/>
      </c>
      <c r="V745">
        <f>IF(AND(T745&lt;&gt;"",U745&lt;&gt;""),IF(U745-T745&lt;=0,"Falls Short",U745-T745),"")</f>
        <v/>
      </c>
      <c r="W745">
        <f>IF(AND(R745&lt;&gt;"",V745&lt;&gt;"Falls Short"),20*V745,"")</f>
        <v/>
      </c>
    </row>
    <row r="746">
      <c r="Q746">
        <f>LEFT(I746,9)</f>
        <v/>
      </c>
      <c r="R746">
        <f>TRIM(B746)</f>
        <v/>
      </c>
      <c r="S746">
        <f>COUNTIF($X$1:$X$9,R746) &gt; 0</f>
        <v/>
      </c>
      <c r="T746">
        <f>IF(AND(S746=FALSE,LEN(R746)&gt;2),4,IF(S746=TRUE,INDEX($Y$1:$Y$9,MATCH(R746,$X$1:$X$9,0)),""))</f>
        <v/>
      </c>
      <c r="U746">
        <f>IF(R746&lt;&gt;"",IF(Q751="",0,MATCH(TRUE,INDEX(Q751:$Q$1100="",0),0)-1),"")</f>
        <v/>
      </c>
      <c r="V746">
        <f>IF(AND(T746&lt;&gt;"",U746&lt;&gt;""),IF(U746-T746&lt;=0,"Falls Short",U746-T746),"")</f>
        <v/>
      </c>
      <c r="W746">
        <f>IF(AND(R746&lt;&gt;"",V746&lt;&gt;"Falls Short"),20*V746,"")</f>
        <v/>
      </c>
    </row>
    <row r="747">
      <c r="Q747">
        <f>LEFT(I747,9)</f>
        <v/>
      </c>
      <c r="R747">
        <f>TRIM(B747)</f>
        <v/>
      </c>
      <c r="S747">
        <f>COUNTIF($X$1:$X$9,R747) &gt; 0</f>
        <v/>
      </c>
      <c r="T747">
        <f>IF(AND(S747=FALSE,LEN(R747)&gt;2),4,IF(S747=TRUE,INDEX($Y$1:$Y$9,MATCH(R747,$X$1:$X$9,0)),""))</f>
        <v/>
      </c>
      <c r="U747">
        <f>IF(R747&lt;&gt;"",IF(Q752="",0,MATCH(TRUE,INDEX(Q752:$Q$1100="",0),0)-1),"")</f>
        <v/>
      </c>
      <c r="V747">
        <f>IF(AND(T747&lt;&gt;"",U747&lt;&gt;""),IF(U747-T747&lt;=0,"Falls Short",U747-T747),"")</f>
        <v/>
      </c>
      <c r="W747">
        <f>IF(AND(R747&lt;&gt;"",V747&lt;&gt;"Falls Short"),20*V747,"")</f>
        <v/>
      </c>
    </row>
    <row r="748">
      <c r="Q748">
        <f>LEFT(I748,9)</f>
        <v/>
      </c>
      <c r="R748">
        <f>TRIM(B748)</f>
        <v/>
      </c>
      <c r="S748">
        <f>COUNTIF($X$1:$X$9,R748) &gt; 0</f>
        <v/>
      </c>
      <c r="T748">
        <f>IF(AND(S748=FALSE,LEN(R748)&gt;2),4,IF(S748=TRUE,INDEX($Y$1:$Y$9,MATCH(R748,$X$1:$X$9,0)),""))</f>
        <v/>
      </c>
      <c r="U748">
        <f>IF(R748&lt;&gt;"",IF(Q753="",0,MATCH(TRUE,INDEX(Q753:$Q$1100="",0),0)-1),"")</f>
        <v/>
      </c>
      <c r="V748">
        <f>IF(AND(T748&lt;&gt;"",U748&lt;&gt;""),IF(U748-T748&lt;=0,"Falls Short",U748-T748),"")</f>
        <v/>
      </c>
      <c r="W748">
        <f>IF(AND(R748&lt;&gt;"",V748&lt;&gt;"Falls Short"),20*V748,"")</f>
        <v/>
      </c>
    </row>
    <row r="749">
      <c r="Q749">
        <f>LEFT(I749,9)</f>
        <v/>
      </c>
      <c r="R749">
        <f>TRIM(B749)</f>
        <v/>
      </c>
      <c r="S749">
        <f>COUNTIF($X$1:$X$9,R749) &gt; 0</f>
        <v/>
      </c>
      <c r="T749">
        <f>IF(AND(S749=FALSE,LEN(R749)&gt;2),4,IF(S749=TRUE,INDEX($Y$1:$Y$9,MATCH(R749,$X$1:$X$9,0)),""))</f>
        <v/>
      </c>
      <c r="U749">
        <f>IF(R749&lt;&gt;"",IF(Q754="",0,MATCH(TRUE,INDEX(Q754:$Q$1100="",0),0)-1),"")</f>
        <v/>
      </c>
      <c r="V749">
        <f>IF(AND(T749&lt;&gt;"",U749&lt;&gt;""),IF(U749-T749&lt;=0,"Falls Short",U749-T749),"")</f>
        <v/>
      </c>
      <c r="W749">
        <f>IF(AND(R749&lt;&gt;"",V749&lt;&gt;"Falls Short"),20*V749,"")</f>
        <v/>
      </c>
    </row>
    <row r="750">
      <c r="Q750">
        <f>LEFT(I750,9)</f>
        <v/>
      </c>
      <c r="R750">
        <f>TRIM(B750)</f>
        <v/>
      </c>
      <c r="S750">
        <f>COUNTIF($X$1:$X$9,R750) &gt; 0</f>
        <v/>
      </c>
      <c r="T750">
        <f>IF(AND(S750=FALSE,LEN(R750)&gt;2),4,IF(S750=TRUE,INDEX($Y$1:$Y$9,MATCH(R750,$X$1:$X$9,0)),""))</f>
        <v/>
      </c>
      <c r="U750">
        <f>IF(R750&lt;&gt;"",IF(Q755="",0,MATCH(TRUE,INDEX(Q755:$Q$1100="",0),0)-1),"")</f>
        <v/>
      </c>
      <c r="V750">
        <f>IF(AND(T750&lt;&gt;"",U750&lt;&gt;""),IF(U750-T750&lt;=0,"Falls Short",U750-T750),"")</f>
        <v/>
      </c>
      <c r="W750">
        <f>IF(AND(R750&lt;&gt;"",V750&lt;&gt;"Falls Short"),20*V750,"")</f>
        <v/>
      </c>
    </row>
    <row r="751">
      <c r="Q751">
        <f>LEFT(I751,9)</f>
        <v/>
      </c>
      <c r="R751">
        <f>TRIM(B751)</f>
        <v/>
      </c>
      <c r="S751">
        <f>COUNTIF($X$1:$X$9,R751) &gt; 0</f>
        <v/>
      </c>
      <c r="T751">
        <f>IF(AND(S751=FALSE,LEN(R751)&gt;2),4,IF(S751=TRUE,INDEX($Y$1:$Y$9,MATCH(R751,$X$1:$X$9,0)),""))</f>
        <v/>
      </c>
      <c r="U751">
        <f>IF(R751&lt;&gt;"",IF(Q756="",0,MATCH(TRUE,INDEX(Q756:$Q$1100="",0),0)-1),"")</f>
        <v/>
      </c>
      <c r="V751">
        <f>IF(AND(T751&lt;&gt;"",U751&lt;&gt;""),IF(U751-T751&lt;=0,"Falls Short",U751-T751),"")</f>
        <v/>
      </c>
      <c r="W751">
        <f>IF(AND(R751&lt;&gt;"",V751&lt;&gt;"Falls Short"),20*V751,"")</f>
        <v/>
      </c>
    </row>
    <row r="752">
      <c r="Q752">
        <f>LEFT(I752,9)</f>
        <v/>
      </c>
      <c r="R752">
        <f>TRIM(B752)</f>
        <v/>
      </c>
      <c r="S752">
        <f>COUNTIF($X$1:$X$9,R752) &gt; 0</f>
        <v/>
      </c>
      <c r="T752">
        <f>IF(AND(S752=FALSE,LEN(R752)&gt;2),4,IF(S752=TRUE,INDEX($Y$1:$Y$9,MATCH(R752,$X$1:$X$9,0)),""))</f>
        <v/>
      </c>
      <c r="U752">
        <f>IF(R752&lt;&gt;"",IF(Q757="",0,MATCH(TRUE,INDEX(Q757:$Q$1100="",0),0)-1),"")</f>
        <v/>
      </c>
      <c r="V752">
        <f>IF(AND(T752&lt;&gt;"",U752&lt;&gt;""),IF(U752-T752&lt;=0,"Falls Short",U752-T752),"")</f>
        <v/>
      </c>
      <c r="W752">
        <f>IF(AND(R752&lt;&gt;"",V752&lt;&gt;"Falls Short"),20*V752,"")</f>
        <v/>
      </c>
    </row>
    <row r="753">
      <c r="Q753">
        <f>LEFT(I753,9)</f>
        <v/>
      </c>
      <c r="R753">
        <f>TRIM(B753)</f>
        <v/>
      </c>
      <c r="S753">
        <f>COUNTIF($X$1:$X$9,R753) &gt; 0</f>
        <v/>
      </c>
      <c r="T753">
        <f>IF(AND(S753=FALSE,LEN(R753)&gt;2),4,IF(S753=TRUE,INDEX($Y$1:$Y$9,MATCH(R753,$X$1:$X$9,0)),""))</f>
        <v/>
      </c>
      <c r="U753">
        <f>IF(R753&lt;&gt;"",IF(Q758="",0,MATCH(TRUE,INDEX(Q758:$Q$1100="",0),0)-1),"")</f>
        <v/>
      </c>
      <c r="V753">
        <f>IF(AND(T753&lt;&gt;"",U753&lt;&gt;""),IF(U753-T753&lt;=0,"Falls Short",U753-T753),"")</f>
        <v/>
      </c>
      <c r="W753">
        <f>IF(AND(R753&lt;&gt;"",V753&lt;&gt;"Falls Short"),20*V753,"")</f>
        <v/>
      </c>
    </row>
    <row r="754">
      <c r="Q754">
        <f>LEFT(I754,9)</f>
        <v/>
      </c>
      <c r="R754">
        <f>TRIM(B754)</f>
        <v/>
      </c>
      <c r="S754">
        <f>COUNTIF($X$1:$X$9,R754) &gt; 0</f>
        <v/>
      </c>
      <c r="T754">
        <f>IF(AND(S754=FALSE,LEN(R754)&gt;2),4,IF(S754=TRUE,INDEX($Y$1:$Y$9,MATCH(R754,$X$1:$X$9,0)),""))</f>
        <v/>
      </c>
      <c r="U754">
        <f>IF(R754&lt;&gt;"",IF(Q759="",0,MATCH(TRUE,INDEX(Q759:$Q$1100="",0),0)-1),"")</f>
        <v/>
      </c>
      <c r="V754">
        <f>IF(AND(T754&lt;&gt;"",U754&lt;&gt;""),IF(U754-T754&lt;=0,"Falls Short",U754-T754),"")</f>
        <v/>
      </c>
      <c r="W754">
        <f>IF(AND(R754&lt;&gt;"",V754&lt;&gt;"Falls Short"),20*V754,"")</f>
        <v/>
      </c>
    </row>
    <row r="755">
      <c r="Q755">
        <f>LEFT(I755,9)</f>
        <v/>
      </c>
      <c r="R755">
        <f>TRIM(B755)</f>
        <v/>
      </c>
      <c r="S755">
        <f>COUNTIF($X$1:$X$9,R755) &gt; 0</f>
        <v/>
      </c>
      <c r="T755">
        <f>IF(AND(S755=FALSE,LEN(R755)&gt;2),4,IF(S755=TRUE,INDEX($Y$1:$Y$9,MATCH(R755,$X$1:$X$9,0)),""))</f>
        <v/>
      </c>
      <c r="U755">
        <f>IF(R755&lt;&gt;"",IF(Q760="",0,MATCH(TRUE,INDEX(Q760:$Q$1100="",0),0)-1),"")</f>
        <v/>
      </c>
      <c r="V755">
        <f>IF(AND(T755&lt;&gt;"",U755&lt;&gt;""),IF(U755-T755&lt;=0,"Falls Short",U755-T755),"")</f>
        <v/>
      </c>
      <c r="W755">
        <f>IF(AND(R755&lt;&gt;"",V755&lt;&gt;"Falls Short"),20*V755,"")</f>
        <v/>
      </c>
    </row>
    <row r="756">
      <c r="Q756">
        <f>LEFT(I756,9)</f>
        <v/>
      </c>
      <c r="R756">
        <f>TRIM(B756)</f>
        <v/>
      </c>
      <c r="S756">
        <f>COUNTIF($X$1:$X$9,R756) &gt; 0</f>
        <v/>
      </c>
      <c r="T756">
        <f>IF(AND(S756=FALSE,LEN(R756)&gt;2),4,IF(S756=TRUE,INDEX($Y$1:$Y$9,MATCH(R756,$X$1:$X$9,0)),""))</f>
        <v/>
      </c>
      <c r="U756">
        <f>IF(R756&lt;&gt;"",IF(Q761="",0,MATCH(TRUE,INDEX(Q761:$Q$1100="",0),0)-1),"")</f>
        <v/>
      </c>
      <c r="V756">
        <f>IF(AND(T756&lt;&gt;"",U756&lt;&gt;""),IF(U756-T756&lt;=0,"Falls Short",U756-T756),"")</f>
        <v/>
      </c>
      <c r="W756">
        <f>IF(AND(R756&lt;&gt;"",V756&lt;&gt;"Falls Short"),20*V756,"")</f>
        <v/>
      </c>
    </row>
    <row r="757">
      <c r="Q757">
        <f>LEFT(I757,9)</f>
        <v/>
      </c>
      <c r="R757">
        <f>TRIM(B757)</f>
        <v/>
      </c>
      <c r="S757">
        <f>COUNTIF($X$1:$X$9,R757) &gt; 0</f>
        <v/>
      </c>
      <c r="T757">
        <f>IF(AND(S757=FALSE,LEN(R757)&gt;2),4,IF(S757=TRUE,INDEX($Y$1:$Y$9,MATCH(R757,$X$1:$X$9,0)),""))</f>
        <v/>
      </c>
      <c r="U757">
        <f>IF(R757&lt;&gt;"",IF(Q762="",0,MATCH(TRUE,INDEX(Q762:$Q$1100="",0),0)-1),"")</f>
        <v/>
      </c>
      <c r="V757">
        <f>IF(AND(T757&lt;&gt;"",U757&lt;&gt;""),IF(U757-T757&lt;=0,"Falls Short",U757-T757),"")</f>
        <v/>
      </c>
      <c r="W757">
        <f>IF(AND(R757&lt;&gt;"",V757&lt;&gt;"Falls Short"),20*V757,"")</f>
        <v/>
      </c>
    </row>
    <row r="758">
      <c r="Q758">
        <f>LEFT(I758,9)</f>
        <v/>
      </c>
      <c r="R758">
        <f>TRIM(B758)</f>
        <v/>
      </c>
      <c r="S758">
        <f>COUNTIF($X$1:$X$9,R758) &gt; 0</f>
        <v/>
      </c>
      <c r="T758">
        <f>IF(AND(S758=FALSE,LEN(R758)&gt;2),4,IF(S758=TRUE,INDEX($Y$1:$Y$9,MATCH(R758,$X$1:$X$9,0)),""))</f>
        <v/>
      </c>
      <c r="U758">
        <f>IF(R758&lt;&gt;"",IF(Q763="",0,MATCH(TRUE,INDEX(Q763:$Q$1100="",0),0)-1),"")</f>
        <v/>
      </c>
      <c r="V758">
        <f>IF(AND(T758&lt;&gt;"",U758&lt;&gt;""),IF(U758-T758&lt;=0,"Falls Short",U758-T758),"")</f>
        <v/>
      </c>
      <c r="W758">
        <f>IF(AND(R758&lt;&gt;"",V758&lt;&gt;"Falls Short"),20*V758,"")</f>
        <v/>
      </c>
    </row>
    <row r="759">
      <c r="Q759">
        <f>LEFT(I759,9)</f>
        <v/>
      </c>
      <c r="R759">
        <f>TRIM(B759)</f>
        <v/>
      </c>
      <c r="S759">
        <f>COUNTIF($X$1:$X$9,R759) &gt; 0</f>
        <v/>
      </c>
      <c r="T759">
        <f>IF(AND(S759=FALSE,LEN(R759)&gt;2),4,IF(S759=TRUE,INDEX($Y$1:$Y$9,MATCH(R759,$X$1:$X$9,0)),""))</f>
        <v/>
      </c>
      <c r="U759">
        <f>IF(R759&lt;&gt;"",IF(Q764="",0,MATCH(TRUE,INDEX(Q764:$Q$1100="",0),0)-1),"")</f>
        <v/>
      </c>
      <c r="V759">
        <f>IF(AND(T759&lt;&gt;"",U759&lt;&gt;""),IF(U759-T759&lt;=0,"Falls Short",U759-T759),"")</f>
        <v/>
      </c>
      <c r="W759">
        <f>IF(AND(R759&lt;&gt;"",V759&lt;&gt;"Falls Short"),20*V759,"")</f>
        <v/>
      </c>
    </row>
    <row r="760">
      <c r="Q760">
        <f>LEFT(I760,9)</f>
        <v/>
      </c>
      <c r="R760">
        <f>TRIM(B760)</f>
        <v/>
      </c>
      <c r="S760">
        <f>COUNTIF($X$1:$X$9,R760) &gt; 0</f>
        <v/>
      </c>
      <c r="T760">
        <f>IF(AND(S760=FALSE,LEN(R760)&gt;2),4,IF(S760=TRUE,INDEX($Y$1:$Y$9,MATCH(R760,$X$1:$X$9,0)),""))</f>
        <v/>
      </c>
      <c r="U760">
        <f>IF(R760&lt;&gt;"",IF(Q765="",0,MATCH(TRUE,INDEX(Q765:$Q$1100="",0),0)-1),"")</f>
        <v/>
      </c>
      <c r="V760">
        <f>IF(AND(T760&lt;&gt;"",U760&lt;&gt;""),IF(U760-T760&lt;=0,"Falls Short",U760-T760),"")</f>
        <v/>
      </c>
      <c r="W760">
        <f>IF(AND(R760&lt;&gt;"",V760&lt;&gt;"Falls Short"),20*V760,"")</f>
        <v/>
      </c>
    </row>
    <row r="761">
      <c r="Q761">
        <f>LEFT(I761,9)</f>
        <v/>
      </c>
      <c r="R761">
        <f>TRIM(B761)</f>
        <v/>
      </c>
      <c r="S761">
        <f>COUNTIF($X$1:$X$9,R761) &gt; 0</f>
        <v/>
      </c>
      <c r="T761">
        <f>IF(AND(S761=FALSE,LEN(R761)&gt;2),4,IF(S761=TRUE,INDEX($Y$1:$Y$9,MATCH(R761,$X$1:$X$9,0)),""))</f>
        <v/>
      </c>
      <c r="U761">
        <f>IF(R761&lt;&gt;"",IF(Q766="",0,MATCH(TRUE,INDEX(Q766:$Q$1100="",0),0)-1),"")</f>
        <v/>
      </c>
      <c r="V761">
        <f>IF(AND(T761&lt;&gt;"",U761&lt;&gt;""),IF(U761-T761&lt;=0,"Falls Short",U761-T761),"")</f>
        <v/>
      </c>
      <c r="W761">
        <f>IF(AND(R761&lt;&gt;"",V761&lt;&gt;"Falls Short"),20*V761,"")</f>
        <v/>
      </c>
    </row>
    <row r="762">
      <c r="Q762">
        <f>LEFT(I762,9)</f>
        <v/>
      </c>
      <c r="R762">
        <f>TRIM(B762)</f>
        <v/>
      </c>
      <c r="S762">
        <f>COUNTIF($X$1:$X$9,R762) &gt; 0</f>
        <v/>
      </c>
      <c r="T762">
        <f>IF(AND(S762=FALSE,LEN(R762)&gt;2),4,IF(S762=TRUE,INDEX($Y$1:$Y$9,MATCH(R762,$X$1:$X$9,0)),""))</f>
        <v/>
      </c>
      <c r="U762">
        <f>IF(R762&lt;&gt;"",IF(Q767="",0,MATCH(TRUE,INDEX(Q767:$Q$1100="",0),0)-1),"")</f>
        <v/>
      </c>
      <c r="V762">
        <f>IF(AND(T762&lt;&gt;"",U762&lt;&gt;""),IF(U762-T762&lt;=0,"Falls Short",U762-T762),"")</f>
        <v/>
      </c>
      <c r="W762">
        <f>IF(AND(R762&lt;&gt;"",V762&lt;&gt;"Falls Short"),20*V762,"")</f>
        <v/>
      </c>
    </row>
    <row r="763">
      <c r="Q763">
        <f>LEFT(I763,9)</f>
        <v/>
      </c>
      <c r="R763">
        <f>TRIM(B763)</f>
        <v/>
      </c>
      <c r="S763">
        <f>COUNTIF($X$1:$X$9,R763) &gt; 0</f>
        <v/>
      </c>
      <c r="T763">
        <f>IF(AND(S763=FALSE,LEN(R763)&gt;2),4,IF(S763=TRUE,INDEX($Y$1:$Y$9,MATCH(R763,$X$1:$X$9,0)),""))</f>
        <v/>
      </c>
      <c r="U763">
        <f>IF(R763&lt;&gt;"",IF(Q768="",0,MATCH(TRUE,INDEX(Q768:$Q$1100="",0),0)-1),"")</f>
        <v/>
      </c>
      <c r="V763">
        <f>IF(AND(T763&lt;&gt;"",U763&lt;&gt;""),IF(U763-T763&lt;=0,"Falls Short",U763-T763),"")</f>
        <v/>
      </c>
      <c r="W763">
        <f>IF(AND(R763&lt;&gt;"",V763&lt;&gt;"Falls Short"),20*V763,"")</f>
        <v/>
      </c>
    </row>
    <row r="764">
      <c r="Q764">
        <f>LEFT(I764,9)</f>
        <v/>
      </c>
      <c r="R764">
        <f>TRIM(B764)</f>
        <v/>
      </c>
      <c r="S764">
        <f>COUNTIF($X$1:$X$9,R764) &gt; 0</f>
        <v/>
      </c>
      <c r="T764">
        <f>IF(AND(S764=FALSE,LEN(R764)&gt;2),4,IF(S764=TRUE,INDEX($Y$1:$Y$9,MATCH(R764,$X$1:$X$9,0)),""))</f>
        <v/>
      </c>
      <c r="U764">
        <f>IF(R764&lt;&gt;"",IF(Q769="",0,MATCH(TRUE,INDEX(Q769:$Q$1100="",0),0)-1),"")</f>
        <v/>
      </c>
      <c r="V764">
        <f>IF(AND(T764&lt;&gt;"",U764&lt;&gt;""),IF(U764-T764&lt;=0,"Falls Short",U764-T764),"")</f>
        <v/>
      </c>
      <c r="W764">
        <f>IF(AND(R764&lt;&gt;"",V764&lt;&gt;"Falls Short"),20*V764,"")</f>
        <v/>
      </c>
    </row>
    <row r="765">
      <c r="Q765">
        <f>LEFT(I765,9)</f>
        <v/>
      </c>
      <c r="R765">
        <f>TRIM(B765)</f>
        <v/>
      </c>
      <c r="S765">
        <f>COUNTIF($X$1:$X$9,R765) &gt; 0</f>
        <v/>
      </c>
      <c r="T765">
        <f>IF(AND(S765=FALSE,LEN(R765)&gt;2),4,IF(S765=TRUE,INDEX($Y$1:$Y$9,MATCH(R765,$X$1:$X$9,0)),""))</f>
        <v/>
      </c>
      <c r="U765">
        <f>IF(R765&lt;&gt;"",IF(Q770="",0,MATCH(TRUE,INDEX(Q770:$Q$1100="",0),0)-1),"")</f>
        <v/>
      </c>
      <c r="V765">
        <f>IF(AND(T765&lt;&gt;"",U765&lt;&gt;""),IF(U765-T765&lt;=0,"Falls Short",U765-T765),"")</f>
        <v/>
      </c>
      <c r="W765">
        <f>IF(AND(R765&lt;&gt;"",V765&lt;&gt;"Falls Short"),20*V765,"")</f>
        <v/>
      </c>
    </row>
    <row r="766">
      <c r="Q766">
        <f>LEFT(I766,9)</f>
        <v/>
      </c>
      <c r="R766">
        <f>TRIM(B766)</f>
        <v/>
      </c>
      <c r="S766">
        <f>COUNTIF($X$1:$X$9,R766) &gt; 0</f>
        <v/>
      </c>
      <c r="T766">
        <f>IF(AND(S766=FALSE,LEN(R766)&gt;2),4,IF(S766=TRUE,INDEX($Y$1:$Y$9,MATCH(R766,$X$1:$X$9,0)),""))</f>
        <v/>
      </c>
      <c r="U766">
        <f>IF(R766&lt;&gt;"",IF(Q771="",0,MATCH(TRUE,INDEX(Q771:$Q$1100="",0),0)-1),"")</f>
        <v/>
      </c>
      <c r="V766">
        <f>IF(AND(T766&lt;&gt;"",U766&lt;&gt;""),IF(U766-T766&lt;=0,"Falls Short",U766-T766),"")</f>
        <v/>
      </c>
      <c r="W766">
        <f>IF(AND(R766&lt;&gt;"",V766&lt;&gt;"Falls Short"),20*V766,"")</f>
        <v/>
      </c>
    </row>
    <row r="767">
      <c r="Q767">
        <f>LEFT(I767,9)</f>
        <v/>
      </c>
      <c r="R767">
        <f>TRIM(B767)</f>
        <v/>
      </c>
      <c r="S767">
        <f>COUNTIF($X$1:$X$9,R767) &gt; 0</f>
        <v/>
      </c>
      <c r="T767">
        <f>IF(AND(S767=FALSE,LEN(R767)&gt;2),4,IF(S767=TRUE,INDEX($Y$1:$Y$9,MATCH(R767,$X$1:$X$9,0)),""))</f>
        <v/>
      </c>
      <c r="U767">
        <f>IF(R767&lt;&gt;"",IF(Q772="",0,MATCH(TRUE,INDEX(Q772:$Q$1100="",0),0)-1),"")</f>
        <v/>
      </c>
      <c r="V767">
        <f>IF(AND(T767&lt;&gt;"",U767&lt;&gt;""),IF(U767-T767&lt;=0,"Falls Short",U767-T767),"")</f>
        <v/>
      </c>
      <c r="W767">
        <f>IF(AND(R767&lt;&gt;"",V767&lt;&gt;"Falls Short"),20*V767,"")</f>
        <v/>
      </c>
    </row>
    <row r="768">
      <c r="Q768">
        <f>LEFT(I768,9)</f>
        <v/>
      </c>
      <c r="R768">
        <f>TRIM(B768)</f>
        <v/>
      </c>
      <c r="S768">
        <f>COUNTIF($X$1:$X$9,R768) &gt; 0</f>
        <v/>
      </c>
      <c r="T768">
        <f>IF(AND(S768=FALSE,LEN(R768)&gt;2),4,IF(S768=TRUE,INDEX($Y$1:$Y$9,MATCH(R768,$X$1:$X$9,0)),""))</f>
        <v/>
      </c>
      <c r="U768">
        <f>IF(R768&lt;&gt;"",IF(Q773="",0,MATCH(TRUE,INDEX(Q773:$Q$1100="",0),0)-1),"")</f>
        <v/>
      </c>
      <c r="V768">
        <f>IF(AND(T768&lt;&gt;"",U768&lt;&gt;""),IF(U768-T768&lt;=0,"Falls Short",U768-T768),"")</f>
        <v/>
      </c>
      <c r="W768">
        <f>IF(AND(R768&lt;&gt;"",V768&lt;&gt;"Falls Short"),20*V768,"")</f>
        <v/>
      </c>
    </row>
    <row r="769">
      <c r="Q769">
        <f>LEFT(I769,9)</f>
        <v/>
      </c>
      <c r="R769">
        <f>TRIM(B769)</f>
        <v/>
      </c>
      <c r="S769">
        <f>COUNTIF($X$1:$X$9,R769) &gt; 0</f>
        <v/>
      </c>
      <c r="T769">
        <f>IF(AND(S769=FALSE,LEN(R769)&gt;2),4,IF(S769=TRUE,INDEX($Y$1:$Y$9,MATCH(R769,$X$1:$X$9,0)),""))</f>
        <v/>
      </c>
      <c r="U769">
        <f>IF(R769&lt;&gt;"",IF(Q774="",0,MATCH(TRUE,INDEX(Q774:$Q$1100="",0),0)-1),"")</f>
        <v/>
      </c>
      <c r="V769">
        <f>IF(AND(T769&lt;&gt;"",U769&lt;&gt;""),IF(U769-T769&lt;=0,"Falls Short",U769-T769),"")</f>
        <v/>
      </c>
      <c r="W769">
        <f>IF(AND(R769&lt;&gt;"",V769&lt;&gt;"Falls Short"),20*V769,"")</f>
        <v/>
      </c>
    </row>
    <row r="770">
      <c r="Q770">
        <f>LEFT(I770,9)</f>
        <v/>
      </c>
      <c r="R770">
        <f>TRIM(B770)</f>
        <v/>
      </c>
      <c r="S770">
        <f>COUNTIF($X$1:$X$9,R770) &gt; 0</f>
        <v/>
      </c>
      <c r="T770">
        <f>IF(AND(S770=FALSE,LEN(R770)&gt;2),4,IF(S770=TRUE,INDEX($Y$1:$Y$9,MATCH(R770,$X$1:$X$9,0)),""))</f>
        <v/>
      </c>
      <c r="U770">
        <f>IF(R770&lt;&gt;"",IF(Q775="",0,MATCH(TRUE,INDEX(Q775:$Q$1100="",0),0)-1),"")</f>
        <v/>
      </c>
      <c r="V770">
        <f>IF(AND(T770&lt;&gt;"",U770&lt;&gt;""),IF(U770-T770&lt;=0,"Falls Short",U770-T770),"")</f>
        <v/>
      </c>
      <c r="W770">
        <f>IF(AND(R770&lt;&gt;"",V770&lt;&gt;"Falls Short"),20*V770,"")</f>
        <v/>
      </c>
    </row>
    <row r="771">
      <c r="Q771">
        <f>LEFT(I771,9)</f>
        <v/>
      </c>
      <c r="R771">
        <f>TRIM(B771)</f>
        <v/>
      </c>
      <c r="S771">
        <f>COUNTIF($X$1:$X$9,R771) &gt; 0</f>
        <v/>
      </c>
      <c r="T771">
        <f>IF(AND(S771=FALSE,LEN(R771)&gt;2),4,IF(S771=TRUE,INDEX($Y$1:$Y$9,MATCH(R771,$X$1:$X$9,0)),""))</f>
        <v/>
      </c>
      <c r="U771">
        <f>IF(R771&lt;&gt;"",IF(Q776="",0,MATCH(TRUE,INDEX(Q776:$Q$1100="",0),0)-1),"")</f>
        <v/>
      </c>
      <c r="V771">
        <f>IF(AND(T771&lt;&gt;"",U771&lt;&gt;""),IF(U771-T771&lt;=0,"Falls Short",U771-T771),"")</f>
        <v/>
      </c>
      <c r="W771">
        <f>IF(AND(R771&lt;&gt;"",V771&lt;&gt;"Falls Short"),20*V771,"")</f>
        <v/>
      </c>
    </row>
    <row r="772">
      <c r="Q772">
        <f>LEFT(I772,9)</f>
        <v/>
      </c>
      <c r="R772">
        <f>TRIM(B772)</f>
        <v/>
      </c>
      <c r="S772">
        <f>COUNTIF($X$1:$X$9,R772) &gt; 0</f>
        <v/>
      </c>
      <c r="T772">
        <f>IF(AND(S772=FALSE,LEN(R772)&gt;2),4,IF(S772=TRUE,INDEX($Y$1:$Y$9,MATCH(R772,$X$1:$X$9,0)),""))</f>
        <v/>
      </c>
      <c r="U772">
        <f>IF(R772&lt;&gt;"",IF(Q777="",0,MATCH(TRUE,INDEX(Q777:$Q$1100="",0),0)-1),"")</f>
        <v/>
      </c>
      <c r="V772">
        <f>IF(AND(T772&lt;&gt;"",U772&lt;&gt;""),IF(U772-T772&lt;=0,"Falls Short",U772-T772),"")</f>
        <v/>
      </c>
      <c r="W772">
        <f>IF(AND(R772&lt;&gt;"",V772&lt;&gt;"Falls Short"),20*V772,"")</f>
        <v/>
      </c>
    </row>
    <row r="773">
      <c r="Q773">
        <f>LEFT(I773,9)</f>
        <v/>
      </c>
      <c r="R773">
        <f>TRIM(B773)</f>
        <v/>
      </c>
      <c r="S773">
        <f>COUNTIF($X$1:$X$9,R773) &gt; 0</f>
        <v/>
      </c>
      <c r="T773">
        <f>IF(AND(S773=FALSE,LEN(R773)&gt;2),4,IF(S773=TRUE,INDEX($Y$1:$Y$9,MATCH(R773,$X$1:$X$9,0)),""))</f>
        <v/>
      </c>
      <c r="U773">
        <f>IF(R773&lt;&gt;"",IF(Q778="",0,MATCH(TRUE,INDEX(Q778:$Q$1100="",0),0)-1),"")</f>
        <v/>
      </c>
      <c r="V773">
        <f>IF(AND(T773&lt;&gt;"",U773&lt;&gt;""),IF(U773-T773&lt;=0,"Falls Short",U773-T773),"")</f>
        <v/>
      </c>
      <c r="W773">
        <f>IF(AND(R773&lt;&gt;"",V773&lt;&gt;"Falls Short"),20*V773,"")</f>
        <v/>
      </c>
    </row>
    <row r="774">
      <c r="Q774">
        <f>LEFT(I774,9)</f>
        <v/>
      </c>
      <c r="R774">
        <f>TRIM(B774)</f>
        <v/>
      </c>
      <c r="S774">
        <f>COUNTIF($X$1:$X$9,R774) &gt; 0</f>
        <v/>
      </c>
      <c r="T774">
        <f>IF(AND(S774=FALSE,LEN(R774)&gt;2),4,IF(S774=TRUE,INDEX($Y$1:$Y$9,MATCH(R774,$X$1:$X$9,0)),""))</f>
        <v/>
      </c>
      <c r="U774">
        <f>IF(R774&lt;&gt;"",IF(Q779="",0,MATCH(TRUE,INDEX(Q779:$Q$1100="",0),0)-1),"")</f>
        <v/>
      </c>
      <c r="V774">
        <f>IF(AND(T774&lt;&gt;"",U774&lt;&gt;""),IF(U774-T774&lt;=0,"Falls Short",U774-T774),"")</f>
        <v/>
      </c>
      <c r="W774">
        <f>IF(AND(R774&lt;&gt;"",V774&lt;&gt;"Falls Short"),20*V774,"")</f>
        <v/>
      </c>
    </row>
    <row r="775">
      <c r="Q775">
        <f>LEFT(I775,9)</f>
        <v/>
      </c>
      <c r="R775">
        <f>TRIM(B775)</f>
        <v/>
      </c>
      <c r="S775">
        <f>COUNTIF($X$1:$X$9,R775) &gt; 0</f>
        <v/>
      </c>
      <c r="T775">
        <f>IF(AND(S775=FALSE,LEN(R775)&gt;2),4,IF(S775=TRUE,INDEX($Y$1:$Y$9,MATCH(R775,$X$1:$X$9,0)),""))</f>
        <v/>
      </c>
      <c r="U775">
        <f>IF(R775&lt;&gt;"",IF(Q780="",0,MATCH(TRUE,INDEX(Q780:$Q$1100="",0),0)-1),"")</f>
        <v/>
      </c>
      <c r="V775">
        <f>IF(AND(T775&lt;&gt;"",U775&lt;&gt;""),IF(U775-T775&lt;=0,"Falls Short",U775-T775),"")</f>
        <v/>
      </c>
      <c r="W775">
        <f>IF(AND(R775&lt;&gt;"",V775&lt;&gt;"Falls Short"),20*V775,"")</f>
        <v/>
      </c>
    </row>
    <row r="776">
      <c r="Q776">
        <f>LEFT(I776,9)</f>
        <v/>
      </c>
      <c r="R776">
        <f>TRIM(B776)</f>
        <v/>
      </c>
      <c r="S776">
        <f>COUNTIF($X$1:$X$9,R776) &gt; 0</f>
        <v/>
      </c>
      <c r="T776">
        <f>IF(AND(S776=FALSE,LEN(R776)&gt;2),4,IF(S776=TRUE,INDEX($Y$1:$Y$9,MATCH(R776,$X$1:$X$9,0)),""))</f>
        <v/>
      </c>
      <c r="U776">
        <f>IF(R776&lt;&gt;"",IF(Q781="",0,MATCH(TRUE,INDEX(Q781:$Q$1100="",0),0)-1),"")</f>
        <v/>
      </c>
      <c r="V776">
        <f>IF(AND(T776&lt;&gt;"",U776&lt;&gt;""),IF(U776-T776&lt;=0,"Falls Short",U776-T776),"")</f>
        <v/>
      </c>
      <c r="W776">
        <f>IF(AND(R776&lt;&gt;"",V776&lt;&gt;"Falls Short"),20*V776,"")</f>
        <v/>
      </c>
    </row>
    <row r="777">
      <c r="Q777">
        <f>LEFT(I777,9)</f>
        <v/>
      </c>
      <c r="R777">
        <f>TRIM(B777)</f>
        <v/>
      </c>
      <c r="S777">
        <f>COUNTIF($X$1:$X$9,R777) &gt; 0</f>
        <v/>
      </c>
      <c r="T777">
        <f>IF(AND(S777=FALSE,LEN(R777)&gt;2),4,IF(S777=TRUE,INDEX($Y$1:$Y$9,MATCH(R777,$X$1:$X$9,0)),""))</f>
        <v/>
      </c>
      <c r="U777">
        <f>IF(R777&lt;&gt;"",IF(Q782="",0,MATCH(TRUE,INDEX(Q782:$Q$1100="",0),0)-1),"")</f>
        <v/>
      </c>
      <c r="V777">
        <f>IF(AND(T777&lt;&gt;"",U777&lt;&gt;""),IF(U777-T777&lt;=0,"Falls Short",U777-T777),"")</f>
        <v/>
      </c>
      <c r="W777">
        <f>IF(AND(R777&lt;&gt;"",V777&lt;&gt;"Falls Short"),20*V777,"")</f>
        <v/>
      </c>
    </row>
    <row r="778">
      <c r="Q778">
        <f>LEFT(I778,9)</f>
        <v/>
      </c>
      <c r="R778">
        <f>TRIM(B778)</f>
        <v/>
      </c>
      <c r="S778">
        <f>COUNTIF($X$1:$X$9,R778) &gt; 0</f>
        <v/>
      </c>
      <c r="T778">
        <f>IF(AND(S778=FALSE,LEN(R778)&gt;2),4,IF(S778=TRUE,INDEX($Y$1:$Y$9,MATCH(R778,$X$1:$X$9,0)),""))</f>
        <v/>
      </c>
      <c r="U778">
        <f>IF(R778&lt;&gt;"",IF(Q783="",0,MATCH(TRUE,INDEX(Q783:$Q$1100="",0),0)-1),"")</f>
        <v/>
      </c>
      <c r="V778">
        <f>IF(AND(T778&lt;&gt;"",U778&lt;&gt;""),IF(U778-T778&lt;=0,"Falls Short",U778-T778),"")</f>
        <v/>
      </c>
      <c r="W778">
        <f>IF(AND(R778&lt;&gt;"",V778&lt;&gt;"Falls Short"),20*V778,"")</f>
        <v/>
      </c>
    </row>
    <row r="779">
      <c r="Q779">
        <f>LEFT(I779,9)</f>
        <v/>
      </c>
      <c r="R779">
        <f>TRIM(B779)</f>
        <v/>
      </c>
      <c r="S779">
        <f>COUNTIF($X$1:$X$9,R779) &gt; 0</f>
        <v/>
      </c>
      <c r="T779">
        <f>IF(AND(S779=FALSE,LEN(R779)&gt;2),4,IF(S779=TRUE,INDEX($Y$1:$Y$9,MATCH(R779,$X$1:$X$9,0)),""))</f>
        <v/>
      </c>
      <c r="U779">
        <f>IF(R779&lt;&gt;"",IF(Q784="",0,MATCH(TRUE,INDEX(Q784:$Q$1100="",0),0)-1),"")</f>
        <v/>
      </c>
      <c r="V779">
        <f>IF(AND(T779&lt;&gt;"",U779&lt;&gt;""),IF(U779-T779&lt;=0,"Falls Short",U779-T779),"")</f>
        <v/>
      </c>
      <c r="W779">
        <f>IF(AND(R779&lt;&gt;"",V779&lt;&gt;"Falls Short"),20*V779,"")</f>
        <v/>
      </c>
    </row>
    <row r="780">
      <c r="Q780">
        <f>LEFT(I780,9)</f>
        <v/>
      </c>
      <c r="R780">
        <f>TRIM(B780)</f>
        <v/>
      </c>
      <c r="S780">
        <f>COUNTIF($X$1:$X$9,R780) &gt; 0</f>
        <v/>
      </c>
      <c r="T780">
        <f>IF(AND(S780=FALSE,LEN(R780)&gt;2),4,IF(S780=TRUE,INDEX($Y$1:$Y$9,MATCH(R780,$X$1:$X$9,0)),""))</f>
        <v/>
      </c>
      <c r="U780">
        <f>IF(R780&lt;&gt;"",IF(Q785="",0,MATCH(TRUE,INDEX(Q785:$Q$1100="",0),0)-1),"")</f>
        <v/>
      </c>
      <c r="V780">
        <f>IF(AND(T780&lt;&gt;"",U780&lt;&gt;""),IF(U780-T780&lt;=0,"Falls Short",U780-T780),"")</f>
        <v/>
      </c>
      <c r="W780">
        <f>IF(AND(R780&lt;&gt;"",V780&lt;&gt;"Falls Short"),20*V780,"")</f>
        <v/>
      </c>
    </row>
    <row r="781">
      <c r="Q781">
        <f>LEFT(I781,9)</f>
        <v/>
      </c>
      <c r="R781">
        <f>TRIM(B781)</f>
        <v/>
      </c>
      <c r="S781">
        <f>COUNTIF($X$1:$X$9,R781) &gt; 0</f>
        <v/>
      </c>
      <c r="T781">
        <f>IF(AND(S781=FALSE,LEN(R781)&gt;2),4,IF(S781=TRUE,INDEX($Y$1:$Y$9,MATCH(R781,$X$1:$X$9,0)),""))</f>
        <v/>
      </c>
      <c r="U781">
        <f>IF(R781&lt;&gt;"",IF(Q786="",0,MATCH(TRUE,INDEX(Q786:$Q$1100="",0),0)-1),"")</f>
        <v/>
      </c>
      <c r="V781">
        <f>IF(AND(T781&lt;&gt;"",U781&lt;&gt;""),IF(U781-T781&lt;=0,"Falls Short",U781-T781),"")</f>
        <v/>
      </c>
      <c r="W781">
        <f>IF(AND(R781&lt;&gt;"",V781&lt;&gt;"Falls Short"),20*V781,"")</f>
        <v/>
      </c>
    </row>
    <row r="782">
      <c r="Q782">
        <f>LEFT(I782,9)</f>
        <v/>
      </c>
      <c r="R782">
        <f>TRIM(B782)</f>
        <v/>
      </c>
      <c r="S782">
        <f>COUNTIF($X$1:$X$9,R782) &gt; 0</f>
        <v/>
      </c>
      <c r="T782">
        <f>IF(AND(S782=FALSE,LEN(R782)&gt;2),4,IF(S782=TRUE,INDEX($Y$1:$Y$9,MATCH(R782,$X$1:$X$9,0)),""))</f>
        <v/>
      </c>
      <c r="U782">
        <f>IF(R782&lt;&gt;"",IF(Q787="",0,MATCH(TRUE,INDEX(Q787:$Q$1100="",0),0)-1),"")</f>
        <v/>
      </c>
      <c r="V782">
        <f>IF(AND(T782&lt;&gt;"",U782&lt;&gt;""),IF(U782-T782&lt;=0,"Falls Short",U782-T782),"")</f>
        <v/>
      </c>
      <c r="W782">
        <f>IF(AND(R782&lt;&gt;"",V782&lt;&gt;"Falls Short"),20*V782,"")</f>
        <v/>
      </c>
    </row>
    <row r="783">
      <c r="Q783">
        <f>LEFT(I783,9)</f>
        <v/>
      </c>
      <c r="R783">
        <f>TRIM(B783)</f>
        <v/>
      </c>
      <c r="S783">
        <f>COUNTIF($X$1:$X$9,R783) &gt; 0</f>
        <v/>
      </c>
      <c r="T783">
        <f>IF(AND(S783=FALSE,LEN(R783)&gt;2),4,IF(S783=TRUE,INDEX($Y$1:$Y$9,MATCH(R783,$X$1:$X$9,0)),""))</f>
        <v/>
      </c>
      <c r="U783">
        <f>IF(R783&lt;&gt;"",IF(Q788="",0,MATCH(TRUE,INDEX(Q788:$Q$1100="",0),0)-1),"")</f>
        <v/>
      </c>
      <c r="V783">
        <f>IF(AND(T783&lt;&gt;"",U783&lt;&gt;""),IF(U783-T783&lt;=0,"Falls Short",U783-T783),"")</f>
        <v/>
      </c>
      <c r="W783">
        <f>IF(AND(R783&lt;&gt;"",V783&lt;&gt;"Falls Short"),20*V783,"")</f>
        <v/>
      </c>
    </row>
    <row r="784">
      <c r="Q784">
        <f>LEFT(I784,9)</f>
        <v/>
      </c>
      <c r="R784">
        <f>TRIM(B784)</f>
        <v/>
      </c>
      <c r="S784">
        <f>COUNTIF($X$1:$X$9,R784) &gt; 0</f>
        <v/>
      </c>
      <c r="T784">
        <f>IF(AND(S784=FALSE,LEN(R784)&gt;2),4,IF(S784=TRUE,INDEX($Y$1:$Y$9,MATCH(R784,$X$1:$X$9,0)),""))</f>
        <v/>
      </c>
      <c r="U784">
        <f>IF(R784&lt;&gt;"",IF(Q789="",0,MATCH(TRUE,INDEX(Q789:$Q$1100="",0),0)-1),"")</f>
        <v/>
      </c>
      <c r="V784">
        <f>IF(AND(T784&lt;&gt;"",U784&lt;&gt;""),IF(U784-T784&lt;=0,"Falls Short",U784-T784),"")</f>
        <v/>
      </c>
      <c r="W784">
        <f>IF(AND(R784&lt;&gt;"",V784&lt;&gt;"Falls Short"),20*V784,"")</f>
        <v/>
      </c>
    </row>
    <row r="785">
      <c r="Q785">
        <f>LEFT(I785,9)</f>
        <v/>
      </c>
      <c r="R785">
        <f>TRIM(B785)</f>
        <v/>
      </c>
      <c r="S785">
        <f>COUNTIF($X$1:$X$9,R785) &gt; 0</f>
        <v/>
      </c>
      <c r="T785">
        <f>IF(AND(S785=FALSE,LEN(R785)&gt;2),4,IF(S785=TRUE,INDEX($Y$1:$Y$9,MATCH(R785,$X$1:$X$9,0)),""))</f>
        <v/>
      </c>
      <c r="U785">
        <f>IF(R785&lt;&gt;"",IF(Q790="",0,MATCH(TRUE,INDEX(Q790:$Q$1100="",0),0)-1),"")</f>
        <v/>
      </c>
      <c r="V785">
        <f>IF(AND(T785&lt;&gt;"",U785&lt;&gt;""),IF(U785-T785&lt;=0,"Falls Short",U785-T785),"")</f>
        <v/>
      </c>
      <c r="W785">
        <f>IF(AND(R785&lt;&gt;"",V785&lt;&gt;"Falls Short"),20*V785,"")</f>
        <v/>
      </c>
    </row>
    <row r="786">
      <c r="Q786">
        <f>LEFT(I786,9)</f>
        <v/>
      </c>
      <c r="R786">
        <f>TRIM(B786)</f>
        <v/>
      </c>
      <c r="S786">
        <f>COUNTIF($X$1:$X$9,R786) &gt; 0</f>
        <v/>
      </c>
      <c r="T786">
        <f>IF(AND(S786=FALSE,LEN(R786)&gt;2),4,IF(S786=TRUE,INDEX($Y$1:$Y$9,MATCH(R786,$X$1:$X$9,0)),""))</f>
        <v/>
      </c>
      <c r="U786">
        <f>IF(R786&lt;&gt;"",IF(Q791="",0,MATCH(TRUE,INDEX(Q791:$Q$1100="",0),0)-1),"")</f>
        <v/>
      </c>
      <c r="V786">
        <f>IF(AND(T786&lt;&gt;"",U786&lt;&gt;""),IF(U786-T786&lt;=0,"Falls Short",U786-T786),"")</f>
        <v/>
      </c>
      <c r="W786">
        <f>IF(AND(R786&lt;&gt;"",V786&lt;&gt;"Falls Short"),20*V786,"")</f>
        <v/>
      </c>
    </row>
    <row r="787">
      <c r="Q787">
        <f>LEFT(I787,9)</f>
        <v/>
      </c>
      <c r="R787">
        <f>TRIM(B787)</f>
        <v/>
      </c>
      <c r="S787">
        <f>COUNTIF($X$1:$X$9,R787) &gt; 0</f>
        <v/>
      </c>
      <c r="T787">
        <f>IF(AND(S787=FALSE,LEN(R787)&gt;2),4,IF(S787=TRUE,INDEX($Y$1:$Y$9,MATCH(R787,$X$1:$X$9,0)),""))</f>
        <v/>
      </c>
      <c r="U787">
        <f>IF(R787&lt;&gt;"",IF(Q792="",0,MATCH(TRUE,INDEX(Q792:$Q$1100="",0),0)-1),"")</f>
        <v/>
      </c>
      <c r="V787">
        <f>IF(AND(T787&lt;&gt;"",U787&lt;&gt;""),IF(U787-T787&lt;=0,"Falls Short",U787-T787),"")</f>
        <v/>
      </c>
      <c r="W787">
        <f>IF(AND(R787&lt;&gt;"",V787&lt;&gt;"Falls Short"),20*V787,"")</f>
        <v/>
      </c>
    </row>
    <row r="788">
      <c r="Q788">
        <f>LEFT(I788,9)</f>
        <v/>
      </c>
      <c r="R788">
        <f>TRIM(B788)</f>
        <v/>
      </c>
      <c r="S788">
        <f>COUNTIF($X$1:$X$9,R788) &gt; 0</f>
        <v/>
      </c>
      <c r="T788">
        <f>IF(AND(S788=FALSE,LEN(R788)&gt;2),4,IF(S788=TRUE,INDEX($Y$1:$Y$9,MATCH(R788,$X$1:$X$9,0)),""))</f>
        <v/>
      </c>
      <c r="U788">
        <f>IF(R788&lt;&gt;"",IF(Q793="",0,MATCH(TRUE,INDEX(Q793:$Q$1100="",0),0)-1),"")</f>
        <v/>
      </c>
      <c r="V788">
        <f>IF(AND(T788&lt;&gt;"",U788&lt;&gt;""),IF(U788-T788&lt;=0,"Falls Short",U788-T788),"")</f>
        <v/>
      </c>
      <c r="W788">
        <f>IF(AND(R788&lt;&gt;"",V788&lt;&gt;"Falls Short"),20*V788,"")</f>
        <v/>
      </c>
    </row>
    <row r="789">
      <c r="Q789">
        <f>LEFT(I789,9)</f>
        <v/>
      </c>
      <c r="R789">
        <f>TRIM(B789)</f>
        <v/>
      </c>
      <c r="S789">
        <f>COUNTIF($X$1:$X$9,R789) &gt; 0</f>
        <v/>
      </c>
      <c r="T789">
        <f>IF(AND(S789=FALSE,LEN(R789)&gt;2),4,IF(S789=TRUE,INDEX($Y$1:$Y$9,MATCH(R789,$X$1:$X$9,0)),""))</f>
        <v/>
      </c>
      <c r="U789">
        <f>IF(R789&lt;&gt;"",IF(Q794="",0,MATCH(TRUE,INDEX(Q794:$Q$1100="",0),0)-1),"")</f>
        <v/>
      </c>
      <c r="V789">
        <f>IF(AND(T789&lt;&gt;"",U789&lt;&gt;""),IF(U789-T789&lt;=0,"Falls Short",U789-T789),"")</f>
        <v/>
      </c>
      <c r="W789">
        <f>IF(AND(R789&lt;&gt;"",V789&lt;&gt;"Falls Short"),20*V789,"")</f>
        <v/>
      </c>
    </row>
    <row r="790">
      <c r="Q790">
        <f>LEFT(I790,9)</f>
        <v/>
      </c>
      <c r="R790">
        <f>TRIM(B790)</f>
        <v/>
      </c>
      <c r="S790">
        <f>COUNTIF($X$1:$X$9,R790) &gt; 0</f>
        <v/>
      </c>
      <c r="T790">
        <f>IF(AND(S790=FALSE,LEN(R790)&gt;2),4,IF(S790=TRUE,INDEX($Y$1:$Y$9,MATCH(R790,$X$1:$X$9,0)),""))</f>
        <v/>
      </c>
      <c r="U790">
        <f>IF(R790&lt;&gt;"",IF(Q795="",0,MATCH(TRUE,INDEX(Q795:$Q$1100="",0),0)-1),"")</f>
        <v/>
      </c>
      <c r="V790">
        <f>IF(AND(T790&lt;&gt;"",U790&lt;&gt;""),IF(U790-T790&lt;=0,"Falls Short",U790-T790),"")</f>
        <v/>
      </c>
      <c r="W790">
        <f>IF(AND(R790&lt;&gt;"",V790&lt;&gt;"Falls Short"),20*V790,"")</f>
        <v/>
      </c>
    </row>
    <row r="791">
      <c r="Q791">
        <f>LEFT(I791,9)</f>
        <v/>
      </c>
      <c r="R791">
        <f>TRIM(B791)</f>
        <v/>
      </c>
      <c r="S791">
        <f>COUNTIF($X$1:$X$9,R791) &gt; 0</f>
        <v/>
      </c>
      <c r="T791">
        <f>IF(AND(S791=FALSE,LEN(R791)&gt;2),4,IF(S791=TRUE,INDEX($Y$1:$Y$9,MATCH(R791,$X$1:$X$9,0)),""))</f>
        <v/>
      </c>
      <c r="U791">
        <f>IF(R791&lt;&gt;"",IF(Q796="",0,MATCH(TRUE,INDEX(Q796:$Q$1100="",0),0)-1),"")</f>
        <v/>
      </c>
      <c r="V791">
        <f>IF(AND(T791&lt;&gt;"",U791&lt;&gt;""),IF(U791-T791&lt;=0,"Falls Short",U791-T791),"")</f>
        <v/>
      </c>
      <c r="W791">
        <f>IF(AND(R791&lt;&gt;"",V791&lt;&gt;"Falls Short"),20*V791,"")</f>
        <v/>
      </c>
    </row>
    <row r="792">
      <c r="Q792">
        <f>LEFT(I792,9)</f>
        <v/>
      </c>
      <c r="R792">
        <f>TRIM(B792)</f>
        <v/>
      </c>
      <c r="S792">
        <f>COUNTIF($X$1:$X$9,R792) &gt; 0</f>
        <v/>
      </c>
      <c r="T792">
        <f>IF(AND(S792=FALSE,LEN(R792)&gt;2),4,IF(S792=TRUE,INDEX($Y$1:$Y$9,MATCH(R792,$X$1:$X$9,0)),""))</f>
        <v/>
      </c>
      <c r="U792">
        <f>IF(R792&lt;&gt;"",IF(Q797="",0,MATCH(TRUE,INDEX(Q797:$Q$1100="",0),0)-1),"")</f>
        <v/>
      </c>
      <c r="V792">
        <f>IF(AND(T792&lt;&gt;"",U792&lt;&gt;""),IF(U792-T792&lt;=0,"Falls Short",U792-T792),"")</f>
        <v/>
      </c>
      <c r="W792">
        <f>IF(AND(R792&lt;&gt;"",V792&lt;&gt;"Falls Short"),20*V792,"")</f>
        <v/>
      </c>
    </row>
    <row r="793">
      <c r="Q793">
        <f>LEFT(I793,9)</f>
        <v/>
      </c>
      <c r="R793">
        <f>TRIM(B793)</f>
        <v/>
      </c>
      <c r="S793">
        <f>COUNTIF($X$1:$X$9,R793) &gt; 0</f>
        <v/>
      </c>
      <c r="T793">
        <f>IF(AND(S793=FALSE,LEN(R793)&gt;2),4,IF(S793=TRUE,INDEX($Y$1:$Y$9,MATCH(R793,$X$1:$X$9,0)),""))</f>
        <v/>
      </c>
      <c r="U793">
        <f>IF(R793&lt;&gt;"",IF(Q798="",0,MATCH(TRUE,INDEX(Q798:$Q$1100="",0),0)-1),"")</f>
        <v/>
      </c>
      <c r="V793">
        <f>IF(AND(T793&lt;&gt;"",U793&lt;&gt;""),IF(U793-T793&lt;=0,"Falls Short",U793-T793),"")</f>
        <v/>
      </c>
      <c r="W793">
        <f>IF(AND(R793&lt;&gt;"",V793&lt;&gt;"Falls Short"),20*V793,"")</f>
        <v/>
      </c>
    </row>
    <row r="794">
      <c r="Q794">
        <f>LEFT(I794,9)</f>
        <v/>
      </c>
      <c r="R794">
        <f>TRIM(B794)</f>
        <v/>
      </c>
      <c r="S794">
        <f>COUNTIF($X$1:$X$9,R794) &gt; 0</f>
        <v/>
      </c>
      <c r="T794">
        <f>IF(AND(S794=FALSE,LEN(R794)&gt;2),4,IF(S794=TRUE,INDEX($Y$1:$Y$9,MATCH(R794,$X$1:$X$9,0)),""))</f>
        <v/>
      </c>
      <c r="U794">
        <f>IF(R794&lt;&gt;"",IF(Q799="",0,MATCH(TRUE,INDEX(Q799:$Q$1100="",0),0)-1),"")</f>
        <v/>
      </c>
      <c r="V794">
        <f>IF(AND(T794&lt;&gt;"",U794&lt;&gt;""),IF(U794-T794&lt;=0,"Falls Short",U794-T794),"")</f>
        <v/>
      </c>
      <c r="W794">
        <f>IF(AND(R794&lt;&gt;"",V794&lt;&gt;"Falls Short"),20*V794,"")</f>
        <v/>
      </c>
    </row>
    <row r="795">
      <c r="Q795">
        <f>LEFT(I795,9)</f>
        <v/>
      </c>
      <c r="R795">
        <f>TRIM(B795)</f>
        <v/>
      </c>
      <c r="S795">
        <f>COUNTIF($X$1:$X$9,R795) &gt; 0</f>
        <v/>
      </c>
      <c r="T795">
        <f>IF(AND(S795=FALSE,LEN(R795)&gt;2),4,IF(S795=TRUE,INDEX($Y$1:$Y$9,MATCH(R795,$X$1:$X$9,0)),""))</f>
        <v/>
      </c>
      <c r="U795">
        <f>IF(R795&lt;&gt;"",IF(Q800="",0,MATCH(TRUE,INDEX(Q800:$Q$1100="",0),0)-1),"")</f>
        <v/>
      </c>
      <c r="V795">
        <f>IF(AND(T795&lt;&gt;"",U795&lt;&gt;""),IF(U795-T795&lt;=0,"Falls Short",U795-T795),"")</f>
        <v/>
      </c>
      <c r="W795">
        <f>IF(AND(R795&lt;&gt;"",V795&lt;&gt;"Falls Short"),20*V795,"")</f>
        <v/>
      </c>
    </row>
    <row r="796">
      <c r="Q796">
        <f>LEFT(I796,9)</f>
        <v/>
      </c>
      <c r="R796">
        <f>TRIM(B796)</f>
        <v/>
      </c>
      <c r="S796">
        <f>COUNTIF($X$1:$X$9,R796) &gt; 0</f>
        <v/>
      </c>
      <c r="T796">
        <f>IF(AND(S796=FALSE,LEN(R796)&gt;2),4,IF(S796=TRUE,INDEX($Y$1:$Y$9,MATCH(R796,$X$1:$X$9,0)),""))</f>
        <v/>
      </c>
      <c r="U796">
        <f>IF(R796&lt;&gt;"",IF(Q801="",0,MATCH(TRUE,INDEX(Q801:$Q$1100="",0),0)-1),"")</f>
        <v/>
      </c>
      <c r="V796">
        <f>IF(AND(T796&lt;&gt;"",U796&lt;&gt;""),IF(U796-T796&lt;=0,"Falls Short",U796-T796),"")</f>
        <v/>
      </c>
      <c r="W796">
        <f>IF(AND(R796&lt;&gt;"",V796&lt;&gt;"Falls Short"),20*V796,"")</f>
        <v/>
      </c>
    </row>
    <row r="797">
      <c r="Q797">
        <f>LEFT(I797,9)</f>
        <v/>
      </c>
      <c r="R797">
        <f>TRIM(B797)</f>
        <v/>
      </c>
      <c r="S797">
        <f>COUNTIF($X$1:$X$9,R797) &gt; 0</f>
        <v/>
      </c>
      <c r="T797">
        <f>IF(AND(S797=FALSE,LEN(R797)&gt;2),4,IF(S797=TRUE,INDEX($Y$1:$Y$9,MATCH(R797,$X$1:$X$9,0)),""))</f>
        <v/>
      </c>
      <c r="U797">
        <f>IF(R797&lt;&gt;"",IF(Q802="",0,MATCH(TRUE,INDEX(Q802:$Q$1100="",0),0)-1),"")</f>
        <v/>
      </c>
      <c r="V797">
        <f>IF(AND(T797&lt;&gt;"",U797&lt;&gt;""),IF(U797-T797&lt;=0,"Falls Short",U797-T797),"")</f>
        <v/>
      </c>
      <c r="W797">
        <f>IF(AND(R797&lt;&gt;"",V797&lt;&gt;"Falls Short"),20*V797,"")</f>
        <v/>
      </c>
    </row>
    <row r="798">
      <c r="Q798">
        <f>LEFT(I798,9)</f>
        <v/>
      </c>
      <c r="R798">
        <f>TRIM(B798)</f>
        <v/>
      </c>
      <c r="S798">
        <f>COUNTIF($X$1:$X$9,R798) &gt; 0</f>
        <v/>
      </c>
      <c r="T798">
        <f>IF(AND(S798=FALSE,LEN(R798)&gt;2),4,IF(S798=TRUE,INDEX($Y$1:$Y$9,MATCH(R798,$X$1:$X$9,0)),""))</f>
        <v/>
      </c>
      <c r="U798">
        <f>IF(R798&lt;&gt;"",IF(Q803="",0,MATCH(TRUE,INDEX(Q803:$Q$1100="",0),0)-1),"")</f>
        <v/>
      </c>
      <c r="V798">
        <f>IF(AND(T798&lt;&gt;"",U798&lt;&gt;""),IF(U798-T798&lt;=0,"Falls Short",U798-T798),"")</f>
        <v/>
      </c>
      <c r="W798">
        <f>IF(AND(R798&lt;&gt;"",V798&lt;&gt;"Falls Short"),20*V798,"")</f>
        <v/>
      </c>
    </row>
    <row r="799">
      <c r="Q799">
        <f>LEFT(I799,9)</f>
        <v/>
      </c>
      <c r="R799">
        <f>TRIM(B799)</f>
        <v/>
      </c>
      <c r="S799">
        <f>COUNTIF($X$1:$X$9,R799) &gt; 0</f>
        <v/>
      </c>
      <c r="T799">
        <f>IF(AND(S799=FALSE,LEN(R799)&gt;2),4,IF(S799=TRUE,INDEX($Y$1:$Y$9,MATCH(R799,$X$1:$X$9,0)),""))</f>
        <v/>
      </c>
      <c r="U799">
        <f>IF(R799&lt;&gt;"",IF(Q804="",0,MATCH(TRUE,INDEX(Q804:$Q$1100="",0),0)-1),"")</f>
        <v/>
      </c>
      <c r="V799">
        <f>IF(AND(T799&lt;&gt;"",U799&lt;&gt;""),IF(U799-T799&lt;=0,"Falls Short",U799-T799),"")</f>
        <v/>
      </c>
      <c r="W799">
        <f>IF(AND(R799&lt;&gt;"",V799&lt;&gt;"Falls Short"),20*V799,"")</f>
        <v/>
      </c>
    </row>
    <row r="800">
      <c r="Q800">
        <f>LEFT(I800,9)</f>
        <v/>
      </c>
      <c r="R800">
        <f>TRIM(B800)</f>
        <v/>
      </c>
      <c r="S800">
        <f>COUNTIF($X$1:$X$9,R800) &gt; 0</f>
        <v/>
      </c>
      <c r="T800">
        <f>IF(AND(S800=FALSE,LEN(R800)&gt;2),4,IF(S800=TRUE,INDEX($Y$1:$Y$9,MATCH(R800,$X$1:$X$9,0)),""))</f>
        <v/>
      </c>
      <c r="U800">
        <f>IF(R800&lt;&gt;"",IF(Q805="",0,MATCH(TRUE,INDEX(Q805:$Q$1100="",0),0)-1),"")</f>
        <v/>
      </c>
      <c r="V800">
        <f>IF(AND(T800&lt;&gt;"",U800&lt;&gt;""),IF(U800-T800&lt;=0,"Falls Short",U800-T800),"")</f>
        <v/>
      </c>
      <c r="W800">
        <f>IF(AND(R800&lt;&gt;"",V800&lt;&gt;"Falls Short"),20*V800,"")</f>
        <v/>
      </c>
    </row>
    <row r="801">
      <c r="Q801">
        <f>LEFT(I801,9)</f>
        <v/>
      </c>
      <c r="R801">
        <f>TRIM(B801)</f>
        <v/>
      </c>
      <c r="S801">
        <f>COUNTIF($X$1:$X$9,R801) &gt; 0</f>
        <v/>
      </c>
      <c r="T801">
        <f>IF(AND(S801=FALSE,LEN(R801)&gt;2),4,IF(S801=TRUE,INDEX($Y$1:$Y$9,MATCH(R801,$X$1:$X$9,0)),""))</f>
        <v/>
      </c>
      <c r="U801">
        <f>IF(R801&lt;&gt;"",IF(Q806="",0,MATCH(TRUE,INDEX(Q806:$Q$1100="",0),0)-1),"")</f>
        <v/>
      </c>
      <c r="V801">
        <f>IF(AND(T801&lt;&gt;"",U801&lt;&gt;""),IF(U801-T801&lt;=0,"Falls Short",U801-T801),"")</f>
        <v/>
      </c>
      <c r="W801">
        <f>IF(AND(R801&lt;&gt;"",V801&lt;&gt;"Falls Short"),20*V801,"")</f>
        <v/>
      </c>
    </row>
    <row r="802">
      <c r="Q802">
        <f>LEFT(I802,9)</f>
        <v/>
      </c>
      <c r="R802">
        <f>TRIM(B802)</f>
        <v/>
      </c>
      <c r="S802">
        <f>COUNTIF($X$1:$X$9,R802) &gt; 0</f>
        <v/>
      </c>
      <c r="T802">
        <f>IF(AND(S802=FALSE,LEN(R802)&gt;2),4,IF(S802=TRUE,INDEX($Y$1:$Y$9,MATCH(R802,$X$1:$X$9,0)),""))</f>
        <v/>
      </c>
      <c r="U802">
        <f>IF(R802&lt;&gt;"",IF(Q807="",0,MATCH(TRUE,INDEX(Q807:$Q$1100="",0),0)-1),"")</f>
        <v/>
      </c>
      <c r="V802">
        <f>IF(AND(T802&lt;&gt;"",U802&lt;&gt;""),IF(U802-T802&lt;=0,"Falls Short",U802-T802),"")</f>
        <v/>
      </c>
      <c r="W802">
        <f>IF(AND(R802&lt;&gt;"",V802&lt;&gt;"Falls Short"),20*V802,"")</f>
        <v/>
      </c>
    </row>
    <row r="803">
      <c r="Q803">
        <f>LEFT(I803,9)</f>
        <v/>
      </c>
      <c r="R803">
        <f>TRIM(B803)</f>
        <v/>
      </c>
      <c r="S803">
        <f>COUNTIF($X$1:$X$9,R803) &gt; 0</f>
        <v/>
      </c>
      <c r="T803">
        <f>IF(AND(S803=FALSE,LEN(R803)&gt;2),4,IF(S803=TRUE,INDEX($Y$1:$Y$9,MATCH(R803,$X$1:$X$9,0)),""))</f>
        <v/>
      </c>
      <c r="U803">
        <f>IF(R803&lt;&gt;"",IF(Q808="",0,MATCH(TRUE,INDEX(Q808:$Q$1100="",0),0)-1),"")</f>
        <v/>
      </c>
      <c r="V803">
        <f>IF(AND(T803&lt;&gt;"",U803&lt;&gt;""),IF(U803-T803&lt;=0,"Falls Short",U803-T803),"")</f>
        <v/>
      </c>
      <c r="W803">
        <f>IF(AND(R803&lt;&gt;"",V803&lt;&gt;"Falls Short"),20*V803,"")</f>
        <v/>
      </c>
    </row>
    <row r="804">
      <c r="Q804">
        <f>LEFT(I804,9)</f>
        <v/>
      </c>
      <c r="R804">
        <f>TRIM(B804)</f>
        <v/>
      </c>
      <c r="S804">
        <f>COUNTIF($X$1:$X$9,R804) &gt; 0</f>
        <v/>
      </c>
      <c r="T804">
        <f>IF(AND(S804=FALSE,LEN(R804)&gt;2),4,IF(S804=TRUE,INDEX($Y$1:$Y$9,MATCH(R804,$X$1:$X$9,0)),""))</f>
        <v/>
      </c>
      <c r="U804">
        <f>IF(R804&lt;&gt;"",IF(Q809="",0,MATCH(TRUE,INDEX(Q809:$Q$1100="",0),0)-1),"")</f>
        <v/>
      </c>
      <c r="V804">
        <f>IF(AND(T804&lt;&gt;"",U804&lt;&gt;""),IF(U804-T804&lt;=0,"Falls Short",U804-T804),"")</f>
        <v/>
      </c>
      <c r="W804">
        <f>IF(AND(R804&lt;&gt;"",V804&lt;&gt;"Falls Short"),20*V804,"")</f>
        <v/>
      </c>
    </row>
    <row r="805">
      <c r="Q805">
        <f>LEFT(I805,9)</f>
        <v/>
      </c>
      <c r="R805">
        <f>TRIM(B805)</f>
        <v/>
      </c>
      <c r="S805">
        <f>COUNTIF($X$1:$X$9,R805) &gt; 0</f>
        <v/>
      </c>
      <c r="T805">
        <f>IF(AND(S805=FALSE,LEN(R805)&gt;2),4,IF(S805=TRUE,INDEX($Y$1:$Y$9,MATCH(R805,$X$1:$X$9,0)),""))</f>
        <v/>
      </c>
      <c r="U805">
        <f>IF(R805&lt;&gt;"",IF(Q810="",0,MATCH(TRUE,INDEX(Q810:$Q$1100="",0),0)-1),"")</f>
        <v/>
      </c>
      <c r="V805">
        <f>IF(AND(T805&lt;&gt;"",U805&lt;&gt;""),IF(U805-T805&lt;=0,"Falls Short",U805-T805),"")</f>
        <v/>
      </c>
      <c r="W805">
        <f>IF(AND(R805&lt;&gt;"",V805&lt;&gt;"Falls Short"),20*V805,"")</f>
        <v/>
      </c>
    </row>
    <row r="806">
      <c r="Q806">
        <f>LEFT(I806,9)</f>
        <v/>
      </c>
      <c r="R806">
        <f>TRIM(B806)</f>
        <v/>
      </c>
      <c r="S806">
        <f>COUNTIF($X$1:$X$9,R806) &gt; 0</f>
        <v/>
      </c>
      <c r="T806">
        <f>IF(AND(S806=FALSE,LEN(R806)&gt;2),4,IF(S806=TRUE,INDEX($Y$1:$Y$9,MATCH(R806,$X$1:$X$9,0)),""))</f>
        <v/>
      </c>
      <c r="U806">
        <f>IF(R806&lt;&gt;"",IF(Q811="",0,MATCH(TRUE,INDEX(Q811:$Q$1100="",0),0)-1),"")</f>
        <v/>
      </c>
      <c r="V806">
        <f>IF(AND(T806&lt;&gt;"",U806&lt;&gt;""),IF(U806-T806&lt;=0,"Falls Short",U806-T806),"")</f>
        <v/>
      </c>
      <c r="W806">
        <f>IF(AND(R806&lt;&gt;"",V806&lt;&gt;"Falls Short"),20*V806,"")</f>
        <v/>
      </c>
    </row>
    <row r="807">
      <c r="Q807">
        <f>LEFT(I807,9)</f>
        <v/>
      </c>
      <c r="R807">
        <f>TRIM(B807)</f>
        <v/>
      </c>
      <c r="S807">
        <f>COUNTIF($X$1:$X$9,R807) &gt; 0</f>
        <v/>
      </c>
      <c r="T807">
        <f>IF(AND(S807=FALSE,LEN(R807)&gt;2),4,IF(S807=TRUE,INDEX($Y$1:$Y$9,MATCH(R807,$X$1:$X$9,0)),""))</f>
        <v/>
      </c>
      <c r="U807">
        <f>IF(R807&lt;&gt;"",IF(Q812="",0,MATCH(TRUE,INDEX(Q812:$Q$1100="",0),0)-1),"")</f>
        <v/>
      </c>
      <c r="V807">
        <f>IF(AND(T807&lt;&gt;"",U807&lt;&gt;""),IF(U807-T807&lt;=0,"Falls Short",U807-T807),"")</f>
        <v/>
      </c>
      <c r="W807">
        <f>IF(AND(R807&lt;&gt;"",V807&lt;&gt;"Falls Short"),20*V807,"")</f>
        <v/>
      </c>
    </row>
    <row r="808">
      <c r="Q808">
        <f>LEFT(I808,9)</f>
        <v/>
      </c>
      <c r="R808">
        <f>TRIM(B808)</f>
        <v/>
      </c>
      <c r="S808">
        <f>COUNTIF($X$1:$X$9,R808) &gt; 0</f>
        <v/>
      </c>
      <c r="T808">
        <f>IF(AND(S808=FALSE,LEN(R808)&gt;2),4,IF(S808=TRUE,INDEX($Y$1:$Y$9,MATCH(R808,$X$1:$X$9,0)),""))</f>
        <v/>
      </c>
      <c r="U808">
        <f>IF(R808&lt;&gt;"",IF(Q813="",0,MATCH(TRUE,INDEX(Q813:$Q$1100="",0),0)-1),"")</f>
        <v/>
      </c>
      <c r="V808">
        <f>IF(AND(T808&lt;&gt;"",U808&lt;&gt;""),IF(U808-T808&lt;=0,"Falls Short",U808-T808),"")</f>
        <v/>
      </c>
      <c r="W808">
        <f>IF(AND(R808&lt;&gt;"",V808&lt;&gt;"Falls Short"),20*V808,"")</f>
        <v/>
      </c>
    </row>
    <row r="809">
      <c r="Q809">
        <f>LEFT(I809,9)</f>
        <v/>
      </c>
      <c r="R809">
        <f>TRIM(B809)</f>
        <v/>
      </c>
      <c r="S809">
        <f>COUNTIF($X$1:$X$9,R809) &gt; 0</f>
        <v/>
      </c>
      <c r="T809">
        <f>IF(AND(S809=FALSE,LEN(R809)&gt;2),4,IF(S809=TRUE,INDEX($Y$1:$Y$9,MATCH(R809,$X$1:$X$9,0)),""))</f>
        <v/>
      </c>
      <c r="U809">
        <f>IF(R809&lt;&gt;"",IF(Q814="",0,MATCH(TRUE,INDEX(Q814:$Q$1100="",0),0)-1),"")</f>
        <v/>
      </c>
      <c r="V809">
        <f>IF(AND(T809&lt;&gt;"",U809&lt;&gt;""),IF(U809-T809&lt;=0,"Falls Short",U809-T809),"")</f>
        <v/>
      </c>
      <c r="W809">
        <f>IF(AND(R809&lt;&gt;"",V809&lt;&gt;"Falls Short"),20*V809,"")</f>
        <v/>
      </c>
    </row>
    <row r="810">
      <c r="Q810">
        <f>LEFT(I810,9)</f>
        <v/>
      </c>
      <c r="R810">
        <f>TRIM(B810)</f>
        <v/>
      </c>
      <c r="S810">
        <f>COUNTIF($X$1:$X$9,R810) &gt; 0</f>
        <v/>
      </c>
      <c r="T810">
        <f>IF(AND(S810=FALSE,LEN(R810)&gt;2),4,IF(S810=TRUE,INDEX($Y$1:$Y$9,MATCH(R810,$X$1:$X$9,0)),""))</f>
        <v/>
      </c>
      <c r="U810">
        <f>IF(R810&lt;&gt;"",IF(Q815="",0,MATCH(TRUE,INDEX(Q815:$Q$1100="",0),0)-1),"")</f>
        <v/>
      </c>
      <c r="V810">
        <f>IF(AND(T810&lt;&gt;"",U810&lt;&gt;""),IF(U810-T810&lt;=0,"Falls Short",U810-T810),"")</f>
        <v/>
      </c>
      <c r="W810">
        <f>IF(AND(R810&lt;&gt;"",V810&lt;&gt;"Falls Short"),20*V810,"")</f>
        <v/>
      </c>
    </row>
    <row r="811">
      <c r="Q811">
        <f>LEFT(I811,9)</f>
        <v/>
      </c>
      <c r="R811">
        <f>TRIM(B811)</f>
        <v/>
      </c>
      <c r="S811">
        <f>COUNTIF($X$1:$X$9,R811) &gt; 0</f>
        <v/>
      </c>
      <c r="T811">
        <f>IF(AND(S811=FALSE,LEN(R811)&gt;2),4,IF(S811=TRUE,INDEX($Y$1:$Y$9,MATCH(R811,$X$1:$X$9,0)),""))</f>
        <v/>
      </c>
      <c r="U811">
        <f>IF(R811&lt;&gt;"",IF(Q816="",0,MATCH(TRUE,INDEX(Q816:$Q$1100="",0),0)-1),"")</f>
        <v/>
      </c>
      <c r="V811">
        <f>IF(AND(T811&lt;&gt;"",U811&lt;&gt;""),IF(U811-T811&lt;=0,"Falls Short",U811-T811),"")</f>
        <v/>
      </c>
      <c r="W811">
        <f>IF(AND(R811&lt;&gt;"",V811&lt;&gt;"Falls Short"),20*V811,"")</f>
        <v/>
      </c>
    </row>
    <row r="812">
      <c r="Q812">
        <f>LEFT(I812,9)</f>
        <v/>
      </c>
      <c r="R812">
        <f>TRIM(B812)</f>
        <v/>
      </c>
      <c r="S812">
        <f>COUNTIF($X$1:$X$9,R812) &gt; 0</f>
        <v/>
      </c>
      <c r="T812">
        <f>IF(AND(S812=FALSE,LEN(R812)&gt;2),4,IF(S812=TRUE,INDEX($Y$1:$Y$9,MATCH(R812,$X$1:$X$9,0)),""))</f>
        <v/>
      </c>
      <c r="U812">
        <f>IF(R812&lt;&gt;"",IF(Q817="",0,MATCH(TRUE,INDEX(Q817:$Q$1100="",0),0)-1),"")</f>
        <v/>
      </c>
      <c r="V812">
        <f>IF(AND(T812&lt;&gt;"",U812&lt;&gt;""),IF(U812-T812&lt;=0,"Falls Short",U812-T812),"")</f>
        <v/>
      </c>
      <c r="W812">
        <f>IF(AND(R812&lt;&gt;"",V812&lt;&gt;"Falls Short"),20*V812,"")</f>
        <v/>
      </c>
    </row>
    <row r="813">
      <c r="Q813">
        <f>LEFT(I813,9)</f>
        <v/>
      </c>
      <c r="R813">
        <f>TRIM(B813)</f>
        <v/>
      </c>
      <c r="S813">
        <f>COUNTIF($X$1:$X$9,R813) &gt; 0</f>
        <v/>
      </c>
      <c r="T813">
        <f>IF(AND(S813=FALSE,LEN(R813)&gt;2),4,IF(S813=TRUE,INDEX($Y$1:$Y$9,MATCH(R813,$X$1:$X$9,0)),""))</f>
        <v/>
      </c>
      <c r="U813">
        <f>IF(R813&lt;&gt;"",IF(Q818="",0,MATCH(TRUE,INDEX(Q818:$Q$1100="",0),0)-1),"")</f>
        <v/>
      </c>
      <c r="V813">
        <f>IF(AND(T813&lt;&gt;"",U813&lt;&gt;""),IF(U813-T813&lt;=0,"Falls Short",U813-T813),"")</f>
        <v/>
      </c>
      <c r="W813">
        <f>IF(AND(R813&lt;&gt;"",V813&lt;&gt;"Falls Short"),20*V813,"")</f>
        <v/>
      </c>
    </row>
    <row r="814">
      <c r="Q814">
        <f>LEFT(I814,9)</f>
        <v/>
      </c>
      <c r="R814">
        <f>TRIM(B814)</f>
        <v/>
      </c>
      <c r="S814">
        <f>COUNTIF($X$1:$X$9,R814) &gt; 0</f>
        <v/>
      </c>
      <c r="T814">
        <f>IF(AND(S814=FALSE,LEN(R814)&gt;2),4,IF(S814=TRUE,INDEX($Y$1:$Y$9,MATCH(R814,$X$1:$X$9,0)),""))</f>
        <v/>
      </c>
      <c r="U814">
        <f>IF(R814&lt;&gt;"",IF(Q819="",0,MATCH(TRUE,INDEX(Q819:$Q$1100="",0),0)-1),"")</f>
        <v/>
      </c>
      <c r="V814">
        <f>IF(AND(T814&lt;&gt;"",U814&lt;&gt;""),IF(U814-T814&lt;=0,"Falls Short",U814-T814),"")</f>
        <v/>
      </c>
      <c r="W814">
        <f>IF(AND(R814&lt;&gt;"",V814&lt;&gt;"Falls Short"),20*V814,"")</f>
        <v/>
      </c>
    </row>
    <row r="815">
      <c r="Q815">
        <f>LEFT(I815,9)</f>
        <v/>
      </c>
      <c r="R815">
        <f>TRIM(B815)</f>
        <v/>
      </c>
      <c r="S815">
        <f>COUNTIF($X$1:$X$9,R815) &gt; 0</f>
        <v/>
      </c>
      <c r="T815">
        <f>IF(AND(S815=FALSE,LEN(R815)&gt;2),4,IF(S815=TRUE,INDEX($Y$1:$Y$9,MATCH(R815,$X$1:$X$9,0)),""))</f>
        <v/>
      </c>
      <c r="U815">
        <f>IF(R815&lt;&gt;"",IF(Q820="",0,MATCH(TRUE,INDEX(Q820:$Q$1100="",0),0)-1),"")</f>
        <v/>
      </c>
      <c r="V815">
        <f>IF(AND(T815&lt;&gt;"",U815&lt;&gt;""),IF(U815-T815&lt;=0,"Falls Short",U815-T815),"")</f>
        <v/>
      </c>
      <c r="W815">
        <f>IF(AND(R815&lt;&gt;"",V815&lt;&gt;"Falls Short"),20*V815,"")</f>
        <v/>
      </c>
    </row>
    <row r="816">
      <c r="Q816">
        <f>LEFT(I816,9)</f>
        <v/>
      </c>
      <c r="R816">
        <f>TRIM(B816)</f>
        <v/>
      </c>
      <c r="S816">
        <f>COUNTIF($X$1:$X$9,R816) &gt; 0</f>
        <v/>
      </c>
      <c r="T816">
        <f>IF(AND(S816=FALSE,LEN(R816)&gt;2),4,IF(S816=TRUE,INDEX($Y$1:$Y$9,MATCH(R816,$X$1:$X$9,0)),""))</f>
        <v/>
      </c>
      <c r="U816">
        <f>IF(R816&lt;&gt;"",IF(Q821="",0,MATCH(TRUE,INDEX(Q821:$Q$1100="",0),0)-1),"")</f>
        <v/>
      </c>
      <c r="V816">
        <f>IF(AND(T816&lt;&gt;"",U816&lt;&gt;""),IF(U816-T816&lt;=0,"Falls Short",U816-T816),"")</f>
        <v/>
      </c>
      <c r="W816">
        <f>IF(AND(R816&lt;&gt;"",V816&lt;&gt;"Falls Short"),20*V816,"")</f>
        <v/>
      </c>
    </row>
    <row r="817">
      <c r="Q817">
        <f>LEFT(I817,9)</f>
        <v/>
      </c>
      <c r="R817">
        <f>TRIM(B817)</f>
        <v/>
      </c>
      <c r="S817">
        <f>COUNTIF($X$1:$X$9,R817) &gt; 0</f>
        <v/>
      </c>
      <c r="T817">
        <f>IF(AND(S817=FALSE,LEN(R817)&gt;2),4,IF(S817=TRUE,INDEX($Y$1:$Y$9,MATCH(R817,$X$1:$X$9,0)),""))</f>
        <v/>
      </c>
      <c r="U817">
        <f>IF(R817&lt;&gt;"",IF(Q822="",0,MATCH(TRUE,INDEX(Q822:$Q$1100="",0),0)-1),"")</f>
        <v/>
      </c>
      <c r="V817">
        <f>IF(AND(T817&lt;&gt;"",U817&lt;&gt;""),IF(U817-T817&lt;=0,"Falls Short",U817-T817),"")</f>
        <v/>
      </c>
      <c r="W817">
        <f>IF(AND(R817&lt;&gt;"",V817&lt;&gt;"Falls Short"),20*V817,"")</f>
        <v/>
      </c>
    </row>
    <row r="818">
      <c r="Q818">
        <f>LEFT(I818,9)</f>
        <v/>
      </c>
      <c r="R818">
        <f>TRIM(B818)</f>
        <v/>
      </c>
      <c r="S818">
        <f>COUNTIF($X$1:$X$9,R818) &gt; 0</f>
        <v/>
      </c>
      <c r="T818">
        <f>IF(AND(S818=FALSE,LEN(R818)&gt;2),4,IF(S818=TRUE,INDEX($Y$1:$Y$9,MATCH(R818,$X$1:$X$9,0)),""))</f>
        <v/>
      </c>
      <c r="U818">
        <f>IF(R818&lt;&gt;"",IF(Q823="",0,MATCH(TRUE,INDEX(Q823:$Q$1100="",0),0)-1),"")</f>
        <v/>
      </c>
      <c r="V818">
        <f>IF(AND(T818&lt;&gt;"",U818&lt;&gt;""),IF(U818-T818&lt;=0,"Falls Short",U818-T818),"")</f>
        <v/>
      </c>
      <c r="W818">
        <f>IF(AND(R818&lt;&gt;"",V818&lt;&gt;"Falls Short"),20*V818,"")</f>
        <v/>
      </c>
    </row>
    <row r="819">
      <c r="Q819">
        <f>LEFT(I819,9)</f>
        <v/>
      </c>
      <c r="R819">
        <f>TRIM(B819)</f>
        <v/>
      </c>
      <c r="S819">
        <f>COUNTIF($X$1:$X$9,R819) &gt; 0</f>
        <v/>
      </c>
      <c r="T819">
        <f>IF(AND(S819=FALSE,LEN(R819)&gt;2),4,IF(S819=TRUE,INDEX($Y$1:$Y$9,MATCH(R819,$X$1:$X$9,0)),""))</f>
        <v/>
      </c>
      <c r="U819">
        <f>IF(R819&lt;&gt;"",IF(Q824="",0,MATCH(TRUE,INDEX(Q824:$Q$1100="",0),0)-1),"")</f>
        <v/>
      </c>
      <c r="V819">
        <f>IF(AND(T819&lt;&gt;"",U819&lt;&gt;""),IF(U819-T819&lt;=0,"Falls Short",U819-T819),"")</f>
        <v/>
      </c>
      <c r="W819">
        <f>IF(AND(R819&lt;&gt;"",V819&lt;&gt;"Falls Short"),20*V819,"")</f>
        <v/>
      </c>
    </row>
    <row r="820">
      <c r="Q820">
        <f>LEFT(I820,9)</f>
        <v/>
      </c>
      <c r="R820">
        <f>TRIM(B820)</f>
        <v/>
      </c>
      <c r="S820">
        <f>COUNTIF($X$1:$X$9,R820) &gt; 0</f>
        <v/>
      </c>
      <c r="T820">
        <f>IF(AND(S820=FALSE,LEN(R820)&gt;2),4,IF(S820=TRUE,INDEX($Y$1:$Y$9,MATCH(R820,$X$1:$X$9,0)),""))</f>
        <v/>
      </c>
      <c r="U820">
        <f>IF(R820&lt;&gt;"",IF(Q825="",0,MATCH(TRUE,INDEX(Q825:$Q$1100="",0),0)-1),"")</f>
        <v/>
      </c>
      <c r="V820">
        <f>IF(AND(T820&lt;&gt;"",U820&lt;&gt;""),IF(U820-T820&lt;=0,"Falls Short",U820-T820),"")</f>
        <v/>
      </c>
      <c r="W820">
        <f>IF(AND(R820&lt;&gt;"",V820&lt;&gt;"Falls Short"),20*V820,"")</f>
        <v/>
      </c>
    </row>
    <row r="821">
      <c r="Q821">
        <f>LEFT(I821,9)</f>
        <v/>
      </c>
      <c r="R821">
        <f>TRIM(B821)</f>
        <v/>
      </c>
      <c r="S821">
        <f>COUNTIF($X$1:$X$9,R821) &gt; 0</f>
        <v/>
      </c>
      <c r="T821">
        <f>IF(AND(S821=FALSE,LEN(R821)&gt;2),4,IF(S821=TRUE,INDEX($Y$1:$Y$9,MATCH(R821,$X$1:$X$9,0)),""))</f>
        <v/>
      </c>
      <c r="U821">
        <f>IF(R821&lt;&gt;"",IF(Q826="",0,MATCH(TRUE,INDEX(Q826:$Q$1100="",0),0)-1),"")</f>
        <v/>
      </c>
      <c r="V821">
        <f>IF(AND(T821&lt;&gt;"",U821&lt;&gt;""),IF(U821-T821&lt;=0,"Falls Short",U821-T821),"")</f>
        <v/>
      </c>
      <c r="W821">
        <f>IF(AND(R821&lt;&gt;"",V821&lt;&gt;"Falls Short"),20*V821,"")</f>
        <v/>
      </c>
    </row>
    <row r="822">
      <c r="Q822">
        <f>LEFT(I822,9)</f>
        <v/>
      </c>
      <c r="R822">
        <f>TRIM(B822)</f>
        <v/>
      </c>
      <c r="S822">
        <f>COUNTIF($X$1:$X$9,R822) &gt; 0</f>
        <v/>
      </c>
      <c r="T822">
        <f>IF(AND(S822=FALSE,LEN(R822)&gt;2),4,IF(S822=TRUE,INDEX($Y$1:$Y$9,MATCH(R822,$X$1:$X$9,0)),""))</f>
        <v/>
      </c>
      <c r="U822">
        <f>IF(R822&lt;&gt;"",IF(Q827="",0,MATCH(TRUE,INDEX(Q827:$Q$1100="",0),0)-1),"")</f>
        <v/>
      </c>
      <c r="V822">
        <f>IF(AND(T822&lt;&gt;"",U822&lt;&gt;""),IF(U822-T822&lt;=0,"Falls Short",U822-T822),"")</f>
        <v/>
      </c>
      <c r="W822">
        <f>IF(AND(R822&lt;&gt;"",V822&lt;&gt;"Falls Short"),20*V822,"")</f>
        <v/>
      </c>
    </row>
    <row r="823">
      <c r="Q823">
        <f>LEFT(I823,9)</f>
        <v/>
      </c>
      <c r="R823">
        <f>TRIM(B823)</f>
        <v/>
      </c>
      <c r="S823">
        <f>COUNTIF($X$1:$X$9,R823) &gt; 0</f>
        <v/>
      </c>
      <c r="T823">
        <f>IF(AND(S823=FALSE,LEN(R823)&gt;2),4,IF(S823=TRUE,INDEX($Y$1:$Y$9,MATCH(R823,$X$1:$X$9,0)),""))</f>
        <v/>
      </c>
      <c r="U823">
        <f>IF(R823&lt;&gt;"",IF(Q828="",0,MATCH(TRUE,INDEX(Q828:$Q$1100="",0),0)-1),"")</f>
        <v/>
      </c>
      <c r="V823">
        <f>IF(AND(T823&lt;&gt;"",U823&lt;&gt;""),IF(U823-T823&lt;=0,"Falls Short",U823-T823),"")</f>
        <v/>
      </c>
      <c r="W823">
        <f>IF(AND(R823&lt;&gt;"",V823&lt;&gt;"Falls Short"),20*V823,"")</f>
        <v/>
      </c>
    </row>
    <row r="824">
      <c r="Q824">
        <f>LEFT(I824,9)</f>
        <v/>
      </c>
      <c r="R824">
        <f>TRIM(B824)</f>
        <v/>
      </c>
      <c r="S824">
        <f>COUNTIF($X$1:$X$9,R824) &gt; 0</f>
        <v/>
      </c>
      <c r="T824">
        <f>IF(AND(S824=FALSE,LEN(R824)&gt;2),4,IF(S824=TRUE,INDEX($Y$1:$Y$9,MATCH(R824,$X$1:$X$9,0)),""))</f>
        <v/>
      </c>
      <c r="U824">
        <f>IF(R824&lt;&gt;"",IF(Q829="",0,MATCH(TRUE,INDEX(Q829:$Q$1100="",0),0)-1),"")</f>
        <v/>
      </c>
      <c r="V824">
        <f>IF(AND(T824&lt;&gt;"",U824&lt;&gt;""),IF(U824-T824&lt;=0,"Falls Short",U824-T824),"")</f>
        <v/>
      </c>
      <c r="W824">
        <f>IF(AND(R824&lt;&gt;"",V824&lt;&gt;"Falls Short"),20*V824,"")</f>
        <v/>
      </c>
    </row>
    <row r="825">
      <c r="Q825">
        <f>LEFT(I825,9)</f>
        <v/>
      </c>
      <c r="R825">
        <f>TRIM(B825)</f>
        <v/>
      </c>
      <c r="S825">
        <f>COUNTIF($X$1:$X$9,R825) &gt; 0</f>
        <v/>
      </c>
      <c r="T825">
        <f>IF(AND(S825=FALSE,LEN(R825)&gt;2),4,IF(S825=TRUE,INDEX($Y$1:$Y$9,MATCH(R825,$X$1:$X$9,0)),""))</f>
        <v/>
      </c>
      <c r="U825">
        <f>IF(R825&lt;&gt;"",IF(Q830="",0,MATCH(TRUE,INDEX(Q830:$Q$1100="",0),0)-1),"")</f>
        <v/>
      </c>
      <c r="V825">
        <f>IF(AND(T825&lt;&gt;"",U825&lt;&gt;""),IF(U825-T825&lt;=0,"Falls Short",U825-T825),"")</f>
        <v/>
      </c>
      <c r="W825">
        <f>IF(AND(R825&lt;&gt;"",V825&lt;&gt;"Falls Short"),20*V825,"")</f>
        <v/>
      </c>
    </row>
    <row r="826">
      <c r="Q826">
        <f>LEFT(I826,9)</f>
        <v/>
      </c>
      <c r="R826">
        <f>TRIM(B826)</f>
        <v/>
      </c>
      <c r="S826">
        <f>COUNTIF($X$1:$X$9,R826) &gt; 0</f>
        <v/>
      </c>
      <c r="T826">
        <f>IF(AND(S826=FALSE,LEN(R826)&gt;2),4,IF(S826=TRUE,INDEX($Y$1:$Y$9,MATCH(R826,$X$1:$X$9,0)),""))</f>
        <v/>
      </c>
      <c r="U826">
        <f>IF(R826&lt;&gt;"",IF(Q831="",0,MATCH(TRUE,INDEX(Q831:$Q$1100="",0),0)-1),"")</f>
        <v/>
      </c>
      <c r="V826">
        <f>IF(AND(T826&lt;&gt;"",U826&lt;&gt;""),IF(U826-T826&lt;=0,"Falls Short",U826-T826),"")</f>
        <v/>
      </c>
      <c r="W826">
        <f>IF(AND(R826&lt;&gt;"",V826&lt;&gt;"Falls Short"),20*V826,"")</f>
        <v/>
      </c>
    </row>
    <row r="827">
      <c r="Q827">
        <f>LEFT(I827,9)</f>
        <v/>
      </c>
      <c r="R827">
        <f>TRIM(B827)</f>
        <v/>
      </c>
      <c r="S827">
        <f>COUNTIF($X$1:$X$9,R827) &gt; 0</f>
        <v/>
      </c>
      <c r="T827">
        <f>IF(AND(S827=FALSE,LEN(R827)&gt;2),4,IF(S827=TRUE,INDEX($Y$1:$Y$9,MATCH(R827,$X$1:$X$9,0)),""))</f>
        <v/>
      </c>
      <c r="U827">
        <f>IF(R827&lt;&gt;"",IF(Q832="",0,MATCH(TRUE,INDEX(Q832:$Q$1100="",0),0)-1),"")</f>
        <v/>
      </c>
      <c r="V827">
        <f>IF(AND(T827&lt;&gt;"",U827&lt;&gt;""),IF(U827-T827&lt;=0,"Falls Short",U827-T827),"")</f>
        <v/>
      </c>
      <c r="W827">
        <f>IF(AND(R827&lt;&gt;"",V827&lt;&gt;"Falls Short"),20*V827,"")</f>
        <v/>
      </c>
    </row>
    <row r="828">
      <c r="Q828">
        <f>LEFT(I828,9)</f>
        <v/>
      </c>
      <c r="R828">
        <f>TRIM(B828)</f>
        <v/>
      </c>
      <c r="S828">
        <f>COUNTIF($X$1:$X$9,R828) &gt; 0</f>
        <v/>
      </c>
      <c r="T828">
        <f>IF(AND(S828=FALSE,LEN(R828)&gt;2),4,IF(S828=TRUE,INDEX($Y$1:$Y$9,MATCH(R828,$X$1:$X$9,0)),""))</f>
        <v/>
      </c>
      <c r="U828">
        <f>IF(R828&lt;&gt;"",IF(Q833="",0,MATCH(TRUE,INDEX(Q833:$Q$1100="",0),0)-1),"")</f>
        <v/>
      </c>
      <c r="V828">
        <f>IF(AND(T828&lt;&gt;"",U828&lt;&gt;""),IF(U828-T828&lt;=0,"Falls Short",U828-T828),"")</f>
        <v/>
      </c>
      <c r="W828">
        <f>IF(AND(R828&lt;&gt;"",V828&lt;&gt;"Falls Short"),20*V828,"")</f>
        <v/>
      </c>
    </row>
    <row r="829">
      <c r="Q829">
        <f>LEFT(I829,9)</f>
        <v/>
      </c>
      <c r="R829">
        <f>TRIM(B829)</f>
        <v/>
      </c>
      <c r="S829">
        <f>COUNTIF($X$1:$X$9,R829) &gt; 0</f>
        <v/>
      </c>
      <c r="T829">
        <f>IF(AND(S829=FALSE,LEN(R829)&gt;2),4,IF(S829=TRUE,INDEX($Y$1:$Y$9,MATCH(R829,$X$1:$X$9,0)),""))</f>
        <v/>
      </c>
      <c r="U829">
        <f>IF(R829&lt;&gt;"",IF(Q834="",0,MATCH(TRUE,INDEX(Q834:$Q$1100="",0),0)-1),"")</f>
        <v/>
      </c>
      <c r="V829">
        <f>IF(AND(T829&lt;&gt;"",U829&lt;&gt;""),IF(U829-T829&lt;=0,"Falls Short",U829-T829),"")</f>
        <v/>
      </c>
      <c r="W829">
        <f>IF(AND(R829&lt;&gt;"",V829&lt;&gt;"Falls Short"),20*V829,"")</f>
        <v/>
      </c>
    </row>
    <row r="830">
      <c r="Q830">
        <f>LEFT(I830,9)</f>
        <v/>
      </c>
      <c r="R830">
        <f>TRIM(B830)</f>
        <v/>
      </c>
      <c r="S830">
        <f>COUNTIF($X$1:$X$9,R830) &gt; 0</f>
        <v/>
      </c>
      <c r="T830">
        <f>IF(AND(S830=FALSE,LEN(R830)&gt;2),4,IF(S830=TRUE,INDEX($Y$1:$Y$9,MATCH(R830,$X$1:$X$9,0)),""))</f>
        <v/>
      </c>
      <c r="U830">
        <f>IF(R830&lt;&gt;"",IF(Q835="",0,MATCH(TRUE,INDEX(Q835:$Q$1100="",0),0)-1),"")</f>
        <v/>
      </c>
      <c r="V830">
        <f>IF(AND(T830&lt;&gt;"",U830&lt;&gt;""),IF(U830-T830&lt;=0,"Falls Short",U830-T830),"")</f>
        <v/>
      </c>
      <c r="W830">
        <f>IF(AND(R830&lt;&gt;"",V830&lt;&gt;"Falls Short"),20*V830,"")</f>
        <v/>
      </c>
    </row>
    <row r="831">
      <c r="Q831">
        <f>LEFT(I831,9)</f>
        <v/>
      </c>
      <c r="R831">
        <f>TRIM(B831)</f>
        <v/>
      </c>
      <c r="S831">
        <f>COUNTIF($X$1:$X$9,R831) &gt; 0</f>
        <v/>
      </c>
      <c r="T831">
        <f>IF(AND(S831=FALSE,LEN(R831)&gt;2),4,IF(S831=TRUE,INDEX($Y$1:$Y$9,MATCH(R831,$X$1:$X$9,0)),""))</f>
        <v/>
      </c>
      <c r="U831">
        <f>IF(R831&lt;&gt;"",IF(Q836="",0,MATCH(TRUE,INDEX(Q836:$Q$1100="",0),0)-1),"")</f>
        <v/>
      </c>
      <c r="V831">
        <f>IF(AND(T831&lt;&gt;"",U831&lt;&gt;""),IF(U831-T831&lt;=0,"Falls Short",U831-T831),"")</f>
        <v/>
      </c>
      <c r="W831">
        <f>IF(AND(R831&lt;&gt;"",V831&lt;&gt;"Falls Short"),20*V831,"")</f>
        <v/>
      </c>
    </row>
    <row r="832">
      <c r="Q832">
        <f>LEFT(I832,9)</f>
        <v/>
      </c>
      <c r="R832">
        <f>TRIM(B832)</f>
        <v/>
      </c>
      <c r="S832">
        <f>COUNTIF($X$1:$X$9,R832) &gt; 0</f>
        <v/>
      </c>
      <c r="T832">
        <f>IF(AND(S832=FALSE,LEN(R832)&gt;2),4,IF(S832=TRUE,INDEX($Y$1:$Y$9,MATCH(R832,$X$1:$X$9,0)),""))</f>
        <v/>
      </c>
      <c r="U832">
        <f>IF(R832&lt;&gt;"",IF(Q837="",0,MATCH(TRUE,INDEX(Q837:$Q$1100="",0),0)-1),"")</f>
        <v/>
      </c>
      <c r="V832">
        <f>IF(AND(T832&lt;&gt;"",U832&lt;&gt;""),IF(U832-T832&lt;=0,"Falls Short",U832-T832),"")</f>
        <v/>
      </c>
      <c r="W832">
        <f>IF(AND(R832&lt;&gt;"",V832&lt;&gt;"Falls Short"),20*V832,"")</f>
        <v/>
      </c>
    </row>
    <row r="833">
      <c r="Q833">
        <f>LEFT(I833,9)</f>
        <v/>
      </c>
      <c r="R833">
        <f>TRIM(B833)</f>
        <v/>
      </c>
      <c r="S833">
        <f>COUNTIF($X$1:$X$9,R833) &gt; 0</f>
        <v/>
      </c>
      <c r="T833">
        <f>IF(AND(S833=FALSE,LEN(R833)&gt;2),4,IF(S833=TRUE,INDEX($Y$1:$Y$9,MATCH(R833,$X$1:$X$9,0)),""))</f>
        <v/>
      </c>
      <c r="U833">
        <f>IF(R833&lt;&gt;"",IF(Q838="",0,MATCH(TRUE,INDEX(Q838:$Q$1100="",0),0)-1),"")</f>
        <v/>
      </c>
      <c r="V833">
        <f>IF(AND(T833&lt;&gt;"",U833&lt;&gt;""),IF(U833-T833&lt;=0,"Falls Short",U833-T833),"")</f>
        <v/>
      </c>
      <c r="W833">
        <f>IF(AND(R833&lt;&gt;"",V833&lt;&gt;"Falls Short"),20*V833,"")</f>
        <v/>
      </c>
    </row>
    <row r="834">
      <c r="Q834">
        <f>LEFT(I834,9)</f>
        <v/>
      </c>
      <c r="R834">
        <f>TRIM(B834)</f>
        <v/>
      </c>
      <c r="S834">
        <f>COUNTIF($X$1:$X$9,R834) &gt; 0</f>
        <v/>
      </c>
      <c r="T834">
        <f>IF(AND(S834=FALSE,LEN(R834)&gt;2),4,IF(S834=TRUE,INDEX($Y$1:$Y$9,MATCH(R834,$X$1:$X$9,0)),""))</f>
        <v/>
      </c>
      <c r="U834">
        <f>IF(R834&lt;&gt;"",IF(Q839="",0,MATCH(TRUE,INDEX(Q839:$Q$1100="",0),0)-1),"")</f>
        <v/>
      </c>
      <c r="V834">
        <f>IF(AND(T834&lt;&gt;"",U834&lt;&gt;""),IF(U834-T834&lt;=0,"Falls Short",U834-T834),"")</f>
        <v/>
      </c>
      <c r="W834">
        <f>IF(AND(R834&lt;&gt;"",V834&lt;&gt;"Falls Short"),20*V834,"")</f>
        <v/>
      </c>
    </row>
    <row r="835">
      <c r="Q835">
        <f>LEFT(I835,9)</f>
        <v/>
      </c>
      <c r="R835">
        <f>TRIM(B835)</f>
        <v/>
      </c>
      <c r="S835">
        <f>COUNTIF($X$1:$X$9,R835) &gt; 0</f>
        <v/>
      </c>
      <c r="T835">
        <f>IF(AND(S835=FALSE,LEN(R835)&gt;2),4,IF(S835=TRUE,INDEX($Y$1:$Y$9,MATCH(R835,$X$1:$X$9,0)),""))</f>
        <v/>
      </c>
      <c r="U835">
        <f>IF(R835&lt;&gt;"",IF(Q840="",0,MATCH(TRUE,INDEX(Q840:$Q$1100="",0),0)-1),"")</f>
        <v/>
      </c>
      <c r="V835">
        <f>IF(AND(T835&lt;&gt;"",U835&lt;&gt;""),IF(U835-T835&lt;=0,"Falls Short",U835-T835),"")</f>
        <v/>
      </c>
      <c r="W835">
        <f>IF(AND(R835&lt;&gt;"",V835&lt;&gt;"Falls Short"),20*V835,"")</f>
        <v/>
      </c>
    </row>
    <row r="836">
      <c r="Q836">
        <f>LEFT(I836,9)</f>
        <v/>
      </c>
      <c r="R836">
        <f>TRIM(B836)</f>
        <v/>
      </c>
      <c r="S836">
        <f>COUNTIF($X$1:$X$9,R836) &gt; 0</f>
        <v/>
      </c>
      <c r="T836">
        <f>IF(AND(S836=FALSE,LEN(R836)&gt;2),4,IF(S836=TRUE,INDEX($Y$1:$Y$9,MATCH(R836,$X$1:$X$9,0)),""))</f>
        <v/>
      </c>
      <c r="U836">
        <f>IF(R836&lt;&gt;"",IF(Q841="",0,MATCH(TRUE,INDEX(Q841:$Q$1100="",0),0)-1),"")</f>
        <v/>
      </c>
      <c r="V836">
        <f>IF(AND(T836&lt;&gt;"",U836&lt;&gt;""),IF(U836-T836&lt;=0,"Falls Short",U836-T836),"")</f>
        <v/>
      </c>
      <c r="W836">
        <f>IF(AND(R836&lt;&gt;"",V836&lt;&gt;"Falls Short"),20*V836,"")</f>
        <v/>
      </c>
    </row>
    <row r="837">
      <c r="Q837">
        <f>LEFT(I837,9)</f>
        <v/>
      </c>
      <c r="R837">
        <f>TRIM(B837)</f>
        <v/>
      </c>
      <c r="S837">
        <f>COUNTIF($X$1:$X$9,R837) &gt; 0</f>
        <v/>
      </c>
      <c r="T837">
        <f>IF(AND(S837=FALSE,LEN(R837)&gt;2),4,IF(S837=TRUE,INDEX($Y$1:$Y$9,MATCH(R837,$X$1:$X$9,0)),""))</f>
        <v/>
      </c>
      <c r="U837">
        <f>IF(R837&lt;&gt;"",IF(Q842="",0,MATCH(TRUE,INDEX(Q842:$Q$1100="",0),0)-1),"")</f>
        <v/>
      </c>
      <c r="V837">
        <f>IF(AND(T837&lt;&gt;"",U837&lt;&gt;""),IF(U837-T837&lt;=0,"Falls Short",U837-T837),"")</f>
        <v/>
      </c>
      <c r="W837">
        <f>IF(AND(R837&lt;&gt;"",V837&lt;&gt;"Falls Short"),20*V837,"")</f>
        <v/>
      </c>
    </row>
    <row r="838">
      <c r="Q838">
        <f>LEFT(I838,9)</f>
        <v/>
      </c>
      <c r="R838">
        <f>TRIM(B838)</f>
        <v/>
      </c>
      <c r="S838">
        <f>COUNTIF($X$1:$X$9,R838) &gt; 0</f>
        <v/>
      </c>
      <c r="T838">
        <f>IF(AND(S838=FALSE,LEN(R838)&gt;2),4,IF(S838=TRUE,INDEX($Y$1:$Y$9,MATCH(R838,$X$1:$X$9,0)),""))</f>
        <v/>
      </c>
      <c r="U838">
        <f>IF(R838&lt;&gt;"",IF(Q843="",0,MATCH(TRUE,INDEX(Q843:$Q$1100="",0),0)-1),"")</f>
        <v/>
      </c>
      <c r="V838">
        <f>IF(AND(T838&lt;&gt;"",U838&lt;&gt;""),IF(U838-T838&lt;=0,"Falls Short",U838-T838),"")</f>
        <v/>
      </c>
      <c r="W838">
        <f>IF(AND(R838&lt;&gt;"",V838&lt;&gt;"Falls Short"),20*V838,"")</f>
        <v/>
      </c>
    </row>
    <row r="839">
      <c r="Q839">
        <f>LEFT(I839,9)</f>
        <v/>
      </c>
      <c r="R839">
        <f>TRIM(B839)</f>
        <v/>
      </c>
      <c r="S839">
        <f>COUNTIF($X$1:$X$9,R839) &gt; 0</f>
        <v/>
      </c>
      <c r="T839">
        <f>IF(AND(S839=FALSE,LEN(R839)&gt;2),4,IF(S839=TRUE,INDEX($Y$1:$Y$9,MATCH(R839,$X$1:$X$9,0)),""))</f>
        <v/>
      </c>
      <c r="U839">
        <f>IF(R839&lt;&gt;"",IF(Q844="",0,MATCH(TRUE,INDEX(Q844:$Q$1100="",0),0)-1),"")</f>
        <v/>
      </c>
      <c r="V839">
        <f>IF(AND(T839&lt;&gt;"",U839&lt;&gt;""),IF(U839-T839&lt;=0,"Falls Short",U839-T839),"")</f>
        <v/>
      </c>
      <c r="W839">
        <f>IF(AND(R839&lt;&gt;"",V839&lt;&gt;"Falls Short"),20*V839,"")</f>
        <v/>
      </c>
    </row>
    <row r="840">
      <c r="Q840">
        <f>LEFT(I840,9)</f>
        <v/>
      </c>
      <c r="R840">
        <f>TRIM(B840)</f>
        <v/>
      </c>
      <c r="S840">
        <f>COUNTIF($X$1:$X$9,R840) &gt; 0</f>
        <v/>
      </c>
      <c r="T840">
        <f>IF(AND(S840=FALSE,LEN(R840)&gt;2),4,IF(S840=TRUE,INDEX($Y$1:$Y$9,MATCH(R840,$X$1:$X$9,0)),""))</f>
        <v/>
      </c>
      <c r="U840">
        <f>IF(R840&lt;&gt;"",IF(Q845="",0,MATCH(TRUE,INDEX(Q845:$Q$1100="",0),0)-1),"")</f>
        <v/>
      </c>
      <c r="V840">
        <f>IF(AND(T840&lt;&gt;"",U840&lt;&gt;""),IF(U840-T840&lt;=0,"Falls Short",U840-T840),"")</f>
        <v/>
      </c>
      <c r="W840">
        <f>IF(AND(R840&lt;&gt;"",V840&lt;&gt;"Falls Short"),20*V840,"")</f>
        <v/>
      </c>
    </row>
    <row r="841">
      <c r="Q841">
        <f>LEFT(I841,9)</f>
        <v/>
      </c>
      <c r="R841">
        <f>TRIM(B841)</f>
        <v/>
      </c>
      <c r="S841">
        <f>COUNTIF($X$1:$X$9,R841) &gt; 0</f>
        <v/>
      </c>
      <c r="T841">
        <f>IF(AND(S841=FALSE,LEN(R841)&gt;2),4,IF(S841=TRUE,INDEX($Y$1:$Y$9,MATCH(R841,$X$1:$X$9,0)),""))</f>
        <v/>
      </c>
      <c r="U841">
        <f>IF(R841&lt;&gt;"",IF(Q846="",0,MATCH(TRUE,INDEX(Q846:$Q$1100="",0),0)-1),"")</f>
        <v/>
      </c>
      <c r="V841">
        <f>IF(AND(T841&lt;&gt;"",U841&lt;&gt;""),IF(U841-T841&lt;=0,"Falls Short",U841-T841),"")</f>
        <v/>
      </c>
      <c r="W841">
        <f>IF(AND(R841&lt;&gt;"",V841&lt;&gt;"Falls Short"),20*V841,"")</f>
        <v/>
      </c>
    </row>
    <row r="842">
      <c r="Q842">
        <f>LEFT(I842,9)</f>
        <v/>
      </c>
      <c r="R842">
        <f>TRIM(B842)</f>
        <v/>
      </c>
      <c r="S842">
        <f>COUNTIF($X$1:$X$9,R842) &gt; 0</f>
        <v/>
      </c>
      <c r="T842">
        <f>IF(AND(S842=FALSE,LEN(R842)&gt;2),4,IF(S842=TRUE,INDEX($Y$1:$Y$9,MATCH(R842,$X$1:$X$9,0)),""))</f>
        <v/>
      </c>
      <c r="U842">
        <f>IF(R842&lt;&gt;"",IF(Q847="",0,MATCH(TRUE,INDEX(Q847:$Q$1100="",0),0)-1),"")</f>
        <v/>
      </c>
      <c r="V842">
        <f>IF(AND(T842&lt;&gt;"",U842&lt;&gt;""),IF(U842-T842&lt;=0,"Falls Short",U842-T842),"")</f>
        <v/>
      </c>
      <c r="W842">
        <f>IF(AND(R842&lt;&gt;"",V842&lt;&gt;"Falls Short"),20*V842,"")</f>
        <v/>
      </c>
    </row>
    <row r="843">
      <c r="Q843">
        <f>LEFT(I843,9)</f>
        <v/>
      </c>
      <c r="R843">
        <f>TRIM(B843)</f>
        <v/>
      </c>
      <c r="S843">
        <f>COUNTIF($X$1:$X$9,R843) &gt; 0</f>
        <v/>
      </c>
      <c r="T843">
        <f>IF(AND(S843=FALSE,LEN(R843)&gt;2),4,IF(S843=TRUE,INDEX($Y$1:$Y$9,MATCH(R843,$X$1:$X$9,0)),""))</f>
        <v/>
      </c>
      <c r="U843">
        <f>IF(R843&lt;&gt;"",IF(Q848="",0,MATCH(TRUE,INDEX(Q848:$Q$1100="",0),0)-1),"")</f>
        <v/>
      </c>
      <c r="V843">
        <f>IF(AND(T843&lt;&gt;"",U843&lt;&gt;""),IF(U843-T843&lt;=0,"Falls Short",U843-T843),"")</f>
        <v/>
      </c>
      <c r="W843">
        <f>IF(AND(R843&lt;&gt;"",V843&lt;&gt;"Falls Short"),20*V843,"")</f>
        <v/>
      </c>
    </row>
    <row r="844">
      <c r="Q844">
        <f>LEFT(I844,9)</f>
        <v/>
      </c>
      <c r="R844">
        <f>TRIM(B844)</f>
        <v/>
      </c>
      <c r="S844">
        <f>COUNTIF($X$1:$X$9,R844) &gt; 0</f>
        <v/>
      </c>
      <c r="T844">
        <f>IF(AND(S844=FALSE,LEN(R844)&gt;2),4,IF(S844=TRUE,INDEX($Y$1:$Y$9,MATCH(R844,$X$1:$X$9,0)),""))</f>
        <v/>
      </c>
      <c r="U844">
        <f>IF(R844&lt;&gt;"",IF(Q849="",0,MATCH(TRUE,INDEX(Q849:$Q$1100="",0),0)-1),"")</f>
        <v/>
      </c>
      <c r="V844">
        <f>IF(AND(T844&lt;&gt;"",U844&lt;&gt;""),IF(U844-T844&lt;=0,"Falls Short",U844-T844),"")</f>
        <v/>
      </c>
      <c r="W844">
        <f>IF(AND(R844&lt;&gt;"",V844&lt;&gt;"Falls Short"),20*V844,"")</f>
        <v/>
      </c>
    </row>
    <row r="845">
      <c r="Q845">
        <f>LEFT(I845,9)</f>
        <v/>
      </c>
      <c r="R845">
        <f>TRIM(B845)</f>
        <v/>
      </c>
      <c r="S845">
        <f>COUNTIF($X$1:$X$9,R845) &gt; 0</f>
        <v/>
      </c>
      <c r="T845">
        <f>IF(AND(S845=FALSE,LEN(R845)&gt;2),4,IF(S845=TRUE,INDEX($Y$1:$Y$9,MATCH(R845,$X$1:$X$9,0)),""))</f>
        <v/>
      </c>
      <c r="U845">
        <f>IF(R845&lt;&gt;"",IF(Q850="",0,MATCH(TRUE,INDEX(Q850:$Q$1100="",0),0)-1),"")</f>
        <v/>
      </c>
      <c r="V845">
        <f>IF(AND(T845&lt;&gt;"",U845&lt;&gt;""),IF(U845-T845&lt;=0,"Falls Short",U845-T845),"")</f>
        <v/>
      </c>
      <c r="W845">
        <f>IF(AND(R845&lt;&gt;"",V845&lt;&gt;"Falls Short"),20*V845,"")</f>
        <v/>
      </c>
    </row>
    <row r="846">
      <c r="Q846">
        <f>LEFT(I846,9)</f>
        <v/>
      </c>
      <c r="R846">
        <f>TRIM(B846)</f>
        <v/>
      </c>
      <c r="S846">
        <f>COUNTIF($X$1:$X$9,R846) &gt; 0</f>
        <v/>
      </c>
      <c r="T846">
        <f>IF(AND(S846=FALSE,LEN(R846)&gt;2),4,IF(S846=TRUE,INDEX($Y$1:$Y$9,MATCH(R846,$X$1:$X$9,0)),""))</f>
        <v/>
      </c>
      <c r="U846">
        <f>IF(R846&lt;&gt;"",IF(Q851="",0,MATCH(TRUE,INDEX(Q851:$Q$1100="",0),0)-1),"")</f>
        <v/>
      </c>
      <c r="V846">
        <f>IF(AND(T846&lt;&gt;"",U846&lt;&gt;""),IF(U846-T846&lt;=0,"Falls Short",U846-T846),"")</f>
        <v/>
      </c>
      <c r="W846">
        <f>IF(AND(R846&lt;&gt;"",V846&lt;&gt;"Falls Short"),20*V846,"")</f>
        <v/>
      </c>
    </row>
    <row r="847">
      <c r="Q847">
        <f>LEFT(I847,9)</f>
        <v/>
      </c>
      <c r="R847">
        <f>TRIM(B847)</f>
        <v/>
      </c>
      <c r="S847">
        <f>COUNTIF($X$1:$X$9,R847) &gt; 0</f>
        <v/>
      </c>
      <c r="T847">
        <f>IF(AND(S847=FALSE,LEN(R847)&gt;2),4,IF(S847=TRUE,INDEX($Y$1:$Y$9,MATCH(R847,$X$1:$X$9,0)),""))</f>
        <v/>
      </c>
      <c r="U847">
        <f>IF(R847&lt;&gt;"",IF(Q852="",0,MATCH(TRUE,INDEX(Q852:$Q$1100="",0),0)-1),"")</f>
        <v/>
      </c>
      <c r="V847">
        <f>IF(AND(T847&lt;&gt;"",U847&lt;&gt;""),IF(U847-T847&lt;=0,"Falls Short",U847-T847),"")</f>
        <v/>
      </c>
      <c r="W847">
        <f>IF(AND(R847&lt;&gt;"",V847&lt;&gt;"Falls Short"),20*V847,"")</f>
        <v/>
      </c>
    </row>
    <row r="848">
      <c r="Q848">
        <f>LEFT(I848,9)</f>
        <v/>
      </c>
      <c r="R848">
        <f>TRIM(B848)</f>
        <v/>
      </c>
      <c r="S848">
        <f>COUNTIF($X$1:$X$9,R848) &gt; 0</f>
        <v/>
      </c>
      <c r="T848">
        <f>IF(AND(S848=FALSE,LEN(R848)&gt;2),4,IF(S848=TRUE,INDEX($Y$1:$Y$9,MATCH(R848,$X$1:$X$9,0)),""))</f>
        <v/>
      </c>
      <c r="U848">
        <f>IF(R848&lt;&gt;"",IF(Q853="",0,MATCH(TRUE,INDEX(Q853:$Q$1100="",0),0)-1),"")</f>
        <v/>
      </c>
      <c r="V848">
        <f>IF(AND(T848&lt;&gt;"",U848&lt;&gt;""),IF(U848-T848&lt;=0,"Falls Short",U848-T848),"")</f>
        <v/>
      </c>
      <c r="W848">
        <f>IF(AND(R848&lt;&gt;"",V848&lt;&gt;"Falls Short"),20*V848,"")</f>
        <v/>
      </c>
    </row>
    <row r="849">
      <c r="Q849">
        <f>LEFT(I849,9)</f>
        <v/>
      </c>
      <c r="R849">
        <f>TRIM(B849)</f>
        <v/>
      </c>
      <c r="S849">
        <f>COUNTIF($X$1:$X$9,R849) &gt; 0</f>
        <v/>
      </c>
      <c r="T849">
        <f>IF(AND(S849=FALSE,LEN(R849)&gt;2),4,IF(S849=TRUE,INDEX($Y$1:$Y$9,MATCH(R849,$X$1:$X$9,0)),""))</f>
        <v/>
      </c>
      <c r="U849">
        <f>IF(R849&lt;&gt;"",IF(Q854="",0,MATCH(TRUE,INDEX(Q854:$Q$1100="",0),0)-1),"")</f>
        <v/>
      </c>
      <c r="V849">
        <f>IF(AND(T849&lt;&gt;"",U849&lt;&gt;""),IF(U849-T849&lt;=0,"Falls Short",U849-T849),"")</f>
        <v/>
      </c>
      <c r="W849">
        <f>IF(AND(R849&lt;&gt;"",V849&lt;&gt;"Falls Short"),20*V849,"")</f>
        <v/>
      </c>
    </row>
    <row r="850">
      <c r="Q850">
        <f>LEFT(I850,9)</f>
        <v/>
      </c>
      <c r="R850">
        <f>TRIM(B850)</f>
        <v/>
      </c>
      <c r="S850">
        <f>COUNTIF($X$1:$X$9,R850) &gt; 0</f>
        <v/>
      </c>
      <c r="T850">
        <f>IF(AND(S850=FALSE,LEN(R850)&gt;2),4,IF(S850=TRUE,INDEX($Y$1:$Y$9,MATCH(R850,$X$1:$X$9,0)),""))</f>
        <v/>
      </c>
      <c r="U850">
        <f>IF(R850&lt;&gt;"",IF(Q855="",0,MATCH(TRUE,INDEX(Q855:$Q$1100="",0),0)-1),"")</f>
        <v/>
      </c>
      <c r="V850">
        <f>IF(AND(T850&lt;&gt;"",U850&lt;&gt;""),IF(U850-T850&lt;=0,"Falls Short",U850-T850),"")</f>
        <v/>
      </c>
      <c r="W850">
        <f>IF(AND(R850&lt;&gt;"",V850&lt;&gt;"Falls Short"),20*V850,"")</f>
        <v/>
      </c>
    </row>
    <row r="851">
      <c r="Q851">
        <f>LEFT(I851,9)</f>
        <v/>
      </c>
      <c r="R851">
        <f>TRIM(B851)</f>
        <v/>
      </c>
      <c r="S851">
        <f>COUNTIF($X$1:$X$9,R851) &gt; 0</f>
        <v/>
      </c>
      <c r="T851">
        <f>IF(AND(S851=FALSE,LEN(R851)&gt;2),4,IF(S851=TRUE,INDEX($Y$1:$Y$9,MATCH(R851,$X$1:$X$9,0)),""))</f>
        <v/>
      </c>
      <c r="U851">
        <f>IF(R851&lt;&gt;"",IF(Q856="",0,MATCH(TRUE,INDEX(Q856:$Q$1100="",0),0)-1),"")</f>
        <v/>
      </c>
      <c r="V851">
        <f>IF(AND(T851&lt;&gt;"",U851&lt;&gt;""),IF(U851-T851&lt;=0,"Falls Short",U851-T851),"")</f>
        <v/>
      </c>
      <c r="W851">
        <f>IF(AND(R851&lt;&gt;"",V851&lt;&gt;"Falls Short"),20*V851,"")</f>
        <v/>
      </c>
    </row>
    <row r="852">
      <c r="Q852">
        <f>LEFT(I852,9)</f>
        <v/>
      </c>
      <c r="R852">
        <f>TRIM(B852)</f>
        <v/>
      </c>
      <c r="S852">
        <f>COUNTIF($X$1:$X$9,R852) &gt; 0</f>
        <v/>
      </c>
      <c r="T852">
        <f>IF(AND(S852=FALSE,LEN(R852)&gt;2),4,IF(S852=TRUE,INDEX($Y$1:$Y$9,MATCH(R852,$X$1:$X$9,0)),""))</f>
        <v/>
      </c>
      <c r="U852">
        <f>IF(R852&lt;&gt;"",IF(Q857="",0,MATCH(TRUE,INDEX(Q857:$Q$1100="",0),0)-1),"")</f>
        <v/>
      </c>
      <c r="V852">
        <f>IF(AND(T852&lt;&gt;"",U852&lt;&gt;""),IF(U852-T852&lt;=0,"Falls Short",U852-T852),"")</f>
        <v/>
      </c>
      <c r="W852">
        <f>IF(AND(R852&lt;&gt;"",V852&lt;&gt;"Falls Short"),20*V852,"")</f>
        <v/>
      </c>
    </row>
    <row r="853">
      <c r="Q853">
        <f>LEFT(I853,9)</f>
        <v/>
      </c>
      <c r="R853">
        <f>TRIM(B853)</f>
        <v/>
      </c>
      <c r="S853">
        <f>COUNTIF($X$1:$X$9,R853) &gt; 0</f>
        <v/>
      </c>
      <c r="T853">
        <f>IF(AND(S853=FALSE,LEN(R853)&gt;2),4,IF(S853=TRUE,INDEX($Y$1:$Y$9,MATCH(R853,$X$1:$X$9,0)),""))</f>
        <v/>
      </c>
      <c r="U853">
        <f>IF(R853&lt;&gt;"",IF(Q858="",0,MATCH(TRUE,INDEX(Q858:$Q$1100="",0),0)-1),"")</f>
        <v/>
      </c>
      <c r="V853">
        <f>IF(AND(T853&lt;&gt;"",U853&lt;&gt;""),IF(U853-T853&lt;=0,"Falls Short",U853-T853),"")</f>
        <v/>
      </c>
      <c r="W853">
        <f>IF(AND(R853&lt;&gt;"",V853&lt;&gt;"Falls Short"),20*V853,"")</f>
        <v/>
      </c>
    </row>
    <row r="854">
      <c r="Q854">
        <f>LEFT(I854,9)</f>
        <v/>
      </c>
      <c r="R854">
        <f>TRIM(B854)</f>
        <v/>
      </c>
      <c r="S854">
        <f>COUNTIF($X$1:$X$9,R854) &gt; 0</f>
        <v/>
      </c>
      <c r="T854">
        <f>IF(AND(S854=FALSE,LEN(R854)&gt;2),4,IF(S854=TRUE,INDEX($Y$1:$Y$9,MATCH(R854,$X$1:$X$9,0)),""))</f>
        <v/>
      </c>
      <c r="U854">
        <f>IF(R854&lt;&gt;"",IF(Q859="",0,MATCH(TRUE,INDEX(Q859:$Q$1100="",0),0)-1),"")</f>
        <v/>
      </c>
      <c r="V854">
        <f>IF(AND(T854&lt;&gt;"",U854&lt;&gt;""),IF(U854-T854&lt;=0,"Falls Short",U854-T854),"")</f>
        <v/>
      </c>
      <c r="W854">
        <f>IF(AND(R854&lt;&gt;"",V854&lt;&gt;"Falls Short"),20*V854,"")</f>
        <v/>
      </c>
    </row>
    <row r="855">
      <c r="Q855">
        <f>LEFT(I855,9)</f>
        <v/>
      </c>
      <c r="R855">
        <f>TRIM(B855)</f>
        <v/>
      </c>
      <c r="S855">
        <f>COUNTIF($X$1:$X$9,R855) &gt; 0</f>
        <v/>
      </c>
      <c r="T855">
        <f>IF(AND(S855=FALSE,LEN(R855)&gt;2),4,IF(S855=TRUE,INDEX($Y$1:$Y$9,MATCH(R855,$X$1:$X$9,0)),""))</f>
        <v/>
      </c>
      <c r="U855">
        <f>IF(R855&lt;&gt;"",IF(Q860="",0,MATCH(TRUE,INDEX(Q860:$Q$1100="",0),0)-1),"")</f>
        <v/>
      </c>
      <c r="V855">
        <f>IF(AND(T855&lt;&gt;"",U855&lt;&gt;""),IF(U855-T855&lt;=0,"Falls Short",U855-T855),"")</f>
        <v/>
      </c>
      <c r="W855">
        <f>IF(AND(R855&lt;&gt;"",V855&lt;&gt;"Falls Short"),20*V855,"")</f>
        <v/>
      </c>
    </row>
    <row r="856">
      <c r="Q856">
        <f>LEFT(I856,9)</f>
        <v/>
      </c>
      <c r="R856">
        <f>TRIM(B856)</f>
        <v/>
      </c>
      <c r="S856">
        <f>COUNTIF($X$1:$X$9,R856) &gt; 0</f>
        <v/>
      </c>
      <c r="T856">
        <f>IF(AND(S856=FALSE,LEN(R856)&gt;2),4,IF(S856=TRUE,INDEX($Y$1:$Y$9,MATCH(R856,$X$1:$X$9,0)),""))</f>
        <v/>
      </c>
      <c r="U856">
        <f>IF(R856&lt;&gt;"",IF(Q861="",0,MATCH(TRUE,INDEX(Q861:$Q$1100="",0),0)-1),"")</f>
        <v/>
      </c>
      <c r="V856">
        <f>IF(AND(T856&lt;&gt;"",U856&lt;&gt;""),IF(U856-T856&lt;=0,"Falls Short",U856-T856),"")</f>
        <v/>
      </c>
      <c r="W856">
        <f>IF(AND(R856&lt;&gt;"",V856&lt;&gt;"Falls Short"),20*V856,"")</f>
        <v/>
      </c>
    </row>
    <row r="857">
      <c r="Q857">
        <f>LEFT(I857,9)</f>
        <v/>
      </c>
      <c r="R857">
        <f>TRIM(B857)</f>
        <v/>
      </c>
      <c r="S857">
        <f>COUNTIF($X$1:$X$9,R857) &gt; 0</f>
        <v/>
      </c>
      <c r="T857">
        <f>IF(AND(S857=FALSE,LEN(R857)&gt;2),4,IF(S857=TRUE,INDEX($Y$1:$Y$9,MATCH(R857,$X$1:$X$9,0)),""))</f>
        <v/>
      </c>
      <c r="U857">
        <f>IF(R857&lt;&gt;"",IF(Q862="",0,MATCH(TRUE,INDEX(Q862:$Q$1100="",0),0)-1),"")</f>
        <v/>
      </c>
      <c r="V857">
        <f>IF(AND(T857&lt;&gt;"",U857&lt;&gt;""),IF(U857-T857&lt;=0,"Falls Short",U857-T857),"")</f>
        <v/>
      </c>
      <c r="W857">
        <f>IF(AND(R857&lt;&gt;"",V857&lt;&gt;"Falls Short"),20*V857,"")</f>
        <v/>
      </c>
    </row>
    <row r="858">
      <c r="Q858">
        <f>LEFT(I858,9)</f>
        <v/>
      </c>
      <c r="R858">
        <f>TRIM(B858)</f>
        <v/>
      </c>
      <c r="S858">
        <f>COUNTIF($X$1:$X$9,R858) &gt; 0</f>
        <v/>
      </c>
      <c r="T858">
        <f>IF(AND(S858=FALSE,LEN(R858)&gt;2),4,IF(S858=TRUE,INDEX($Y$1:$Y$9,MATCH(R858,$X$1:$X$9,0)),""))</f>
        <v/>
      </c>
      <c r="U858">
        <f>IF(R858&lt;&gt;"",IF(Q863="",0,MATCH(TRUE,INDEX(Q863:$Q$1100="",0),0)-1),"")</f>
        <v/>
      </c>
      <c r="V858">
        <f>IF(AND(T858&lt;&gt;"",U858&lt;&gt;""),IF(U858-T858&lt;=0,"Falls Short",U858-T858),"")</f>
        <v/>
      </c>
      <c r="W858">
        <f>IF(AND(R858&lt;&gt;"",V858&lt;&gt;"Falls Short"),20*V858,"")</f>
        <v/>
      </c>
    </row>
    <row r="859">
      <c r="Q859">
        <f>LEFT(I859,9)</f>
        <v/>
      </c>
      <c r="R859">
        <f>TRIM(B859)</f>
        <v/>
      </c>
      <c r="S859">
        <f>COUNTIF($X$1:$X$9,R859) &gt; 0</f>
        <v/>
      </c>
      <c r="T859">
        <f>IF(AND(S859=FALSE,LEN(R859)&gt;2),4,IF(S859=TRUE,INDEX($Y$1:$Y$9,MATCH(R859,$X$1:$X$9,0)),""))</f>
        <v/>
      </c>
      <c r="U859">
        <f>IF(R859&lt;&gt;"",IF(Q864="",0,MATCH(TRUE,INDEX(Q864:$Q$1100="",0),0)-1),"")</f>
        <v/>
      </c>
      <c r="V859">
        <f>IF(AND(T859&lt;&gt;"",U859&lt;&gt;""),IF(U859-T859&lt;=0,"Falls Short",U859-T859),"")</f>
        <v/>
      </c>
      <c r="W859">
        <f>IF(AND(R859&lt;&gt;"",V859&lt;&gt;"Falls Short"),20*V859,"")</f>
        <v/>
      </c>
    </row>
    <row r="860">
      <c r="Q860">
        <f>LEFT(I860,9)</f>
        <v/>
      </c>
      <c r="R860">
        <f>TRIM(B860)</f>
        <v/>
      </c>
      <c r="S860">
        <f>COUNTIF($X$1:$X$9,R860) &gt; 0</f>
        <v/>
      </c>
      <c r="T860">
        <f>IF(AND(S860=FALSE,LEN(R860)&gt;2),4,IF(S860=TRUE,INDEX($Y$1:$Y$9,MATCH(R860,$X$1:$X$9,0)),""))</f>
        <v/>
      </c>
      <c r="U860">
        <f>IF(R860&lt;&gt;"",IF(Q865="",0,MATCH(TRUE,INDEX(Q865:$Q$1100="",0),0)-1),"")</f>
        <v/>
      </c>
      <c r="V860">
        <f>IF(AND(T860&lt;&gt;"",U860&lt;&gt;""),IF(U860-T860&lt;=0,"Falls Short",U860-T860),"")</f>
        <v/>
      </c>
      <c r="W860">
        <f>IF(AND(R860&lt;&gt;"",V860&lt;&gt;"Falls Short"),20*V860,"")</f>
        <v/>
      </c>
    </row>
    <row r="861">
      <c r="Q861">
        <f>LEFT(I861,9)</f>
        <v/>
      </c>
      <c r="R861">
        <f>TRIM(B861)</f>
        <v/>
      </c>
      <c r="S861">
        <f>COUNTIF($X$1:$X$9,R861) &gt; 0</f>
        <v/>
      </c>
      <c r="T861">
        <f>IF(AND(S861=FALSE,LEN(R861)&gt;2),4,IF(S861=TRUE,INDEX($Y$1:$Y$9,MATCH(R861,$X$1:$X$9,0)),""))</f>
        <v/>
      </c>
      <c r="U861">
        <f>IF(R861&lt;&gt;"",IF(Q866="",0,MATCH(TRUE,INDEX(Q866:$Q$1100="",0),0)-1),"")</f>
        <v/>
      </c>
      <c r="V861">
        <f>IF(AND(T861&lt;&gt;"",U861&lt;&gt;""),IF(U861-T861&lt;=0,"Falls Short",U861-T861),"")</f>
        <v/>
      </c>
      <c r="W861">
        <f>IF(AND(R861&lt;&gt;"",V861&lt;&gt;"Falls Short"),20*V861,"")</f>
        <v/>
      </c>
    </row>
    <row r="862">
      <c r="Q862">
        <f>LEFT(I862,9)</f>
        <v/>
      </c>
      <c r="R862">
        <f>TRIM(B862)</f>
        <v/>
      </c>
      <c r="S862">
        <f>COUNTIF($X$1:$X$9,R862) &gt; 0</f>
        <v/>
      </c>
      <c r="T862">
        <f>IF(AND(S862=FALSE,LEN(R862)&gt;2),4,IF(S862=TRUE,INDEX($Y$1:$Y$9,MATCH(R862,$X$1:$X$9,0)),""))</f>
        <v/>
      </c>
      <c r="U862">
        <f>IF(R862&lt;&gt;"",IF(Q867="",0,MATCH(TRUE,INDEX(Q867:$Q$1100="",0),0)-1),"")</f>
        <v/>
      </c>
      <c r="V862">
        <f>IF(AND(T862&lt;&gt;"",U862&lt;&gt;""),IF(U862-T862&lt;=0,"Falls Short",U862-T862),"")</f>
        <v/>
      </c>
      <c r="W862">
        <f>IF(AND(R862&lt;&gt;"",V862&lt;&gt;"Falls Short"),20*V862,"")</f>
        <v/>
      </c>
    </row>
    <row r="863">
      <c r="Q863">
        <f>LEFT(I863,9)</f>
        <v/>
      </c>
      <c r="R863">
        <f>TRIM(B863)</f>
        <v/>
      </c>
      <c r="S863">
        <f>COUNTIF($X$1:$X$9,R863) &gt; 0</f>
        <v/>
      </c>
      <c r="T863">
        <f>IF(AND(S863=FALSE,LEN(R863)&gt;2),4,IF(S863=TRUE,INDEX($Y$1:$Y$9,MATCH(R863,$X$1:$X$9,0)),""))</f>
        <v/>
      </c>
      <c r="U863">
        <f>IF(R863&lt;&gt;"",IF(Q868="",0,MATCH(TRUE,INDEX(Q868:$Q$1100="",0),0)-1),"")</f>
        <v/>
      </c>
      <c r="V863">
        <f>IF(AND(T863&lt;&gt;"",U863&lt;&gt;""),IF(U863-T863&lt;=0,"Falls Short",U863-T863),"")</f>
        <v/>
      </c>
      <c r="W863">
        <f>IF(AND(R863&lt;&gt;"",V863&lt;&gt;"Falls Short"),20*V863,"")</f>
        <v/>
      </c>
    </row>
    <row r="864">
      <c r="Q864">
        <f>LEFT(I864,9)</f>
        <v/>
      </c>
      <c r="R864">
        <f>TRIM(B864)</f>
        <v/>
      </c>
      <c r="S864">
        <f>COUNTIF($X$1:$X$9,R864) &gt; 0</f>
        <v/>
      </c>
      <c r="T864">
        <f>IF(AND(S864=FALSE,LEN(R864)&gt;2),4,IF(S864=TRUE,INDEX($Y$1:$Y$9,MATCH(R864,$X$1:$X$9,0)),""))</f>
        <v/>
      </c>
      <c r="U864">
        <f>IF(R864&lt;&gt;"",IF(Q869="",0,MATCH(TRUE,INDEX(Q869:$Q$1100="",0),0)-1),"")</f>
        <v/>
      </c>
      <c r="V864">
        <f>IF(AND(T864&lt;&gt;"",U864&lt;&gt;""),IF(U864-T864&lt;=0,"Falls Short",U864-T864),"")</f>
        <v/>
      </c>
      <c r="W864">
        <f>IF(AND(R864&lt;&gt;"",V864&lt;&gt;"Falls Short"),20*V864,"")</f>
        <v/>
      </c>
    </row>
    <row r="865">
      <c r="Q865">
        <f>LEFT(I865,9)</f>
        <v/>
      </c>
      <c r="R865">
        <f>TRIM(B865)</f>
        <v/>
      </c>
      <c r="S865">
        <f>COUNTIF($X$1:$X$9,R865) &gt; 0</f>
        <v/>
      </c>
      <c r="T865">
        <f>IF(AND(S865=FALSE,LEN(R865)&gt;2),4,IF(S865=TRUE,INDEX($Y$1:$Y$9,MATCH(R865,$X$1:$X$9,0)),""))</f>
        <v/>
      </c>
      <c r="U865">
        <f>IF(R865&lt;&gt;"",IF(Q870="",0,MATCH(TRUE,INDEX(Q870:$Q$1100="",0),0)-1),"")</f>
        <v/>
      </c>
      <c r="V865">
        <f>IF(AND(T865&lt;&gt;"",U865&lt;&gt;""),IF(U865-T865&lt;=0,"Falls Short",U865-T865),"")</f>
        <v/>
      </c>
      <c r="W865">
        <f>IF(AND(R865&lt;&gt;"",V865&lt;&gt;"Falls Short"),20*V865,"")</f>
        <v/>
      </c>
    </row>
    <row r="866">
      <c r="Q866">
        <f>LEFT(I866,9)</f>
        <v/>
      </c>
      <c r="R866">
        <f>TRIM(B866)</f>
        <v/>
      </c>
      <c r="S866">
        <f>COUNTIF($X$1:$X$9,R866) &gt; 0</f>
        <v/>
      </c>
      <c r="T866">
        <f>IF(AND(S866=FALSE,LEN(R866)&gt;2),4,IF(S866=TRUE,INDEX($Y$1:$Y$9,MATCH(R866,$X$1:$X$9,0)),""))</f>
        <v/>
      </c>
      <c r="U866">
        <f>IF(R866&lt;&gt;"",IF(Q871="",0,MATCH(TRUE,INDEX(Q871:$Q$1100="",0),0)-1),"")</f>
        <v/>
      </c>
      <c r="V866">
        <f>IF(AND(T866&lt;&gt;"",U866&lt;&gt;""),IF(U866-T866&lt;=0,"Falls Short",U866-T866),"")</f>
        <v/>
      </c>
      <c r="W866">
        <f>IF(AND(R866&lt;&gt;"",V866&lt;&gt;"Falls Short"),20*V866,"")</f>
        <v/>
      </c>
    </row>
    <row r="867">
      <c r="Q867">
        <f>LEFT(I867,9)</f>
        <v/>
      </c>
      <c r="R867">
        <f>TRIM(B867)</f>
        <v/>
      </c>
      <c r="S867">
        <f>COUNTIF($X$1:$X$9,R867) &gt; 0</f>
        <v/>
      </c>
      <c r="T867">
        <f>IF(AND(S867=FALSE,LEN(R867)&gt;2),4,IF(S867=TRUE,INDEX($Y$1:$Y$9,MATCH(R867,$X$1:$X$9,0)),""))</f>
        <v/>
      </c>
      <c r="U867">
        <f>IF(R867&lt;&gt;"",IF(Q872="",0,MATCH(TRUE,INDEX(Q872:$Q$1100="",0),0)-1),"")</f>
        <v/>
      </c>
      <c r="V867">
        <f>IF(AND(T867&lt;&gt;"",U867&lt;&gt;""),IF(U867-T867&lt;=0,"Falls Short",U867-T867),"")</f>
        <v/>
      </c>
      <c r="W867">
        <f>IF(AND(R867&lt;&gt;"",V867&lt;&gt;"Falls Short"),20*V867,"")</f>
        <v/>
      </c>
    </row>
    <row r="868">
      <c r="Q868">
        <f>LEFT(I868,9)</f>
        <v/>
      </c>
      <c r="R868">
        <f>TRIM(B868)</f>
        <v/>
      </c>
      <c r="S868">
        <f>COUNTIF($X$1:$X$9,R868) &gt; 0</f>
        <v/>
      </c>
      <c r="T868">
        <f>IF(AND(S868=FALSE,LEN(R868)&gt;2),4,IF(S868=TRUE,INDEX($Y$1:$Y$9,MATCH(R868,$X$1:$X$9,0)),""))</f>
        <v/>
      </c>
      <c r="U868">
        <f>IF(R868&lt;&gt;"",IF(Q873="",0,MATCH(TRUE,INDEX(Q873:$Q$1100="",0),0)-1),"")</f>
        <v/>
      </c>
      <c r="V868">
        <f>IF(AND(T868&lt;&gt;"",U868&lt;&gt;""),IF(U868-T868&lt;=0,"Falls Short",U868-T868),"")</f>
        <v/>
      </c>
      <c r="W868">
        <f>IF(AND(R868&lt;&gt;"",V868&lt;&gt;"Falls Short"),20*V868,"")</f>
        <v/>
      </c>
    </row>
    <row r="869">
      <c r="Q869">
        <f>LEFT(I869,9)</f>
        <v/>
      </c>
      <c r="R869">
        <f>TRIM(B869)</f>
        <v/>
      </c>
      <c r="S869">
        <f>COUNTIF($X$1:$X$9,R869) &gt; 0</f>
        <v/>
      </c>
      <c r="T869">
        <f>IF(AND(S869=FALSE,LEN(R869)&gt;2),4,IF(S869=TRUE,INDEX($Y$1:$Y$9,MATCH(R869,$X$1:$X$9,0)),""))</f>
        <v/>
      </c>
      <c r="U869">
        <f>IF(R869&lt;&gt;"",IF(Q874="",0,MATCH(TRUE,INDEX(Q874:$Q$1100="",0),0)-1),"")</f>
        <v/>
      </c>
      <c r="V869">
        <f>IF(AND(T869&lt;&gt;"",U869&lt;&gt;""),IF(U869-T869&lt;=0,"Falls Short",U869-T869),"")</f>
        <v/>
      </c>
      <c r="W869">
        <f>IF(AND(R869&lt;&gt;"",V869&lt;&gt;"Falls Short"),20*V869,"")</f>
        <v/>
      </c>
    </row>
    <row r="870">
      <c r="Q870">
        <f>LEFT(I870,9)</f>
        <v/>
      </c>
      <c r="R870">
        <f>TRIM(B870)</f>
        <v/>
      </c>
      <c r="S870">
        <f>COUNTIF($X$1:$X$9,R870) &gt; 0</f>
        <v/>
      </c>
      <c r="T870">
        <f>IF(AND(S870=FALSE,LEN(R870)&gt;2),4,IF(S870=TRUE,INDEX($Y$1:$Y$9,MATCH(R870,$X$1:$X$9,0)),""))</f>
        <v/>
      </c>
      <c r="U870">
        <f>IF(R870&lt;&gt;"",IF(Q875="",0,MATCH(TRUE,INDEX(Q875:$Q$1100="",0),0)-1),"")</f>
        <v/>
      </c>
      <c r="V870">
        <f>IF(AND(T870&lt;&gt;"",U870&lt;&gt;""),IF(U870-T870&lt;=0,"Falls Short",U870-T870),"")</f>
        <v/>
      </c>
      <c r="W870">
        <f>IF(AND(R870&lt;&gt;"",V870&lt;&gt;"Falls Short"),20*V870,"")</f>
        <v/>
      </c>
    </row>
    <row r="871">
      <c r="Q871">
        <f>LEFT(I871,9)</f>
        <v/>
      </c>
      <c r="R871">
        <f>TRIM(B871)</f>
        <v/>
      </c>
      <c r="S871">
        <f>COUNTIF($X$1:$X$9,R871) &gt; 0</f>
        <v/>
      </c>
      <c r="T871">
        <f>IF(AND(S871=FALSE,LEN(R871)&gt;2),4,IF(S871=TRUE,INDEX($Y$1:$Y$9,MATCH(R871,$X$1:$X$9,0)),""))</f>
        <v/>
      </c>
      <c r="U871">
        <f>IF(R871&lt;&gt;"",IF(Q876="",0,MATCH(TRUE,INDEX(Q876:$Q$1100="",0),0)-1),"")</f>
        <v/>
      </c>
      <c r="V871">
        <f>IF(AND(T871&lt;&gt;"",U871&lt;&gt;""),IF(U871-T871&lt;=0,"Falls Short",U871-T871),"")</f>
        <v/>
      </c>
      <c r="W871">
        <f>IF(AND(R871&lt;&gt;"",V871&lt;&gt;"Falls Short"),20*V871,"")</f>
        <v/>
      </c>
    </row>
    <row r="872">
      <c r="Q872">
        <f>LEFT(I872,9)</f>
        <v/>
      </c>
      <c r="R872">
        <f>TRIM(B872)</f>
        <v/>
      </c>
      <c r="S872">
        <f>COUNTIF($X$1:$X$9,R872) &gt; 0</f>
        <v/>
      </c>
      <c r="T872">
        <f>IF(AND(S872=FALSE,LEN(R872)&gt;2),4,IF(S872=TRUE,INDEX($Y$1:$Y$9,MATCH(R872,$X$1:$X$9,0)),""))</f>
        <v/>
      </c>
      <c r="U872">
        <f>IF(R872&lt;&gt;"",IF(Q877="",0,MATCH(TRUE,INDEX(Q877:$Q$1100="",0),0)-1),"")</f>
        <v/>
      </c>
      <c r="V872">
        <f>IF(AND(T872&lt;&gt;"",U872&lt;&gt;""),IF(U872-T872&lt;=0,"Falls Short",U872-T872),"")</f>
        <v/>
      </c>
      <c r="W872">
        <f>IF(AND(R872&lt;&gt;"",V872&lt;&gt;"Falls Short"),20*V872,"")</f>
        <v/>
      </c>
    </row>
    <row r="873">
      <c r="Q873">
        <f>LEFT(I873,9)</f>
        <v/>
      </c>
      <c r="R873">
        <f>TRIM(B873)</f>
        <v/>
      </c>
      <c r="S873">
        <f>COUNTIF($X$1:$X$9,R873) &gt; 0</f>
        <v/>
      </c>
      <c r="T873">
        <f>IF(AND(S873=FALSE,LEN(R873)&gt;2),4,IF(S873=TRUE,INDEX($Y$1:$Y$9,MATCH(R873,$X$1:$X$9,0)),""))</f>
        <v/>
      </c>
      <c r="U873">
        <f>IF(R873&lt;&gt;"",IF(Q878="",0,MATCH(TRUE,INDEX(Q878:$Q$1100="",0),0)-1),"")</f>
        <v/>
      </c>
      <c r="V873">
        <f>IF(AND(T873&lt;&gt;"",U873&lt;&gt;""),IF(U873-T873&lt;=0,"Falls Short",U873-T873),"")</f>
        <v/>
      </c>
      <c r="W873">
        <f>IF(AND(R873&lt;&gt;"",V873&lt;&gt;"Falls Short"),20*V873,"")</f>
        <v/>
      </c>
    </row>
    <row r="874">
      <c r="Q874">
        <f>LEFT(I874,9)</f>
        <v/>
      </c>
      <c r="R874">
        <f>TRIM(B874)</f>
        <v/>
      </c>
      <c r="S874">
        <f>COUNTIF($X$1:$X$9,R874) &gt; 0</f>
        <v/>
      </c>
      <c r="T874">
        <f>IF(AND(S874=FALSE,LEN(R874)&gt;2),4,IF(S874=TRUE,INDEX($Y$1:$Y$9,MATCH(R874,$X$1:$X$9,0)),""))</f>
        <v/>
      </c>
      <c r="U874">
        <f>IF(R874&lt;&gt;"",IF(Q879="",0,MATCH(TRUE,INDEX(Q879:$Q$1100="",0),0)-1),"")</f>
        <v/>
      </c>
      <c r="V874">
        <f>IF(AND(T874&lt;&gt;"",U874&lt;&gt;""),IF(U874-T874&lt;=0,"Falls Short",U874-T874),"")</f>
        <v/>
      </c>
      <c r="W874">
        <f>IF(AND(R874&lt;&gt;"",V874&lt;&gt;"Falls Short"),20*V874,"")</f>
        <v/>
      </c>
    </row>
    <row r="875">
      <c r="Q875">
        <f>LEFT(I875,9)</f>
        <v/>
      </c>
      <c r="R875">
        <f>TRIM(B875)</f>
        <v/>
      </c>
      <c r="S875">
        <f>COUNTIF($X$1:$X$9,R875) &gt; 0</f>
        <v/>
      </c>
      <c r="T875">
        <f>IF(AND(S875=FALSE,LEN(R875)&gt;2),4,IF(S875=TRUE,INDEX($Y$1:$Y$9,MATCH(R875,$X$1:$X$9,0)),""))</f>
        <v/>
      </c>
      <c r="U875">
        <f>IF(R875&lt;&gt;"",IF(Q880="",0,MATCH(TRUE,INDEX(Q880:$Q$1100="",0),0)-1),"")</f>
        <v/>
      </c>
      <c r="V875">
        <f>IF(AND(T875&lt;&gt;"",U875&lt;&gt;""),IF(U875-T875&lt;=0,"Falls Short",U875-T875),"")</f>
        <v/>
      </c>
      <c r="W875">
        <f>IF(AND(R875&lt;&gt;"",V875&lt;&gt;"Falls Short"),20*V875,"")</f>
        <v/>
      </c>
    </row>
    <row r="876">
      <c r="Q876">
        <f>LEFT(I876,9)</f>
        <v/>
      </c>
      <c r="R876">
        <f>TRIM(B876)</f>
        <v/>
      </c>
      <c r="S876">
        <f>COUNTIF($X$1:$X$9,R876) &gt; 0</f>
        <v/>
      </c>
      <c r="T876">
        <f>IF(AND(S876=FALSE,LEN(R876)&gt;2),4,IF(S876=TRUE,INDEX($Y$1:$Y$9,MATCH(R876,$X$1:$X$9,0)),""))</f>
        <v/>
      </c>
      <c r="U876">
        <f>IF(R876&lt;&gt;"",IF(Q881="",0,MATCH(TRUE,INDEX(Q881:$Q$1100="",0),0)-1),"")</f>
        <v/>
      </c>
      <c r="V876">
        <f>IF(AND(T876&lt;&gt;"",U876&lt;&gt;""),IF(U876-T876&lt;=0,"Falls Short",U876-T876),"")</f>
        <v/>
      </c>
      <c r="W876">
        <f>IF(AND(R876&lt;&gt;"",V876&lt;&gt;"Falls Short"),20*V876,"")</f>
        <v/>
      </c>
    </row>
    <row r="877">
      <c r="Q877">
        <f>LEFT(I877,9)</f>
        <v/>
      </c>
      <c r="R877">
        <f>TRIM(B877)</f>
        <v/>
      </c>
      <c r="S877">
        <f>COUNTIF($X$1:$X$9,R877) &gt; 0</f>
        <v/>
      </c>
      <c r="T877">
        <f>IF(AND(S877=FALSE,LEN(R877)&gt;2),4,IF(S877=TRUE,INDEX($Y$1:$Y$9,MATCH(R877,$X$1:$X$9,0)),""))</f>
        <v/>
      </c>
      <c r="U877">
        <f>IF(R877&lt;&gt;"",IF(Q882="",0,MATCH(TRUE,INDEX(Q882:$Q$1100="",0),0)-1),"")</f>
        <v/>
      </c>
      <c r="V877">
        <f>IF(AND(T877&lt;&gt;"",U877&lt;&gt;""),IF(U877-T877&lt;=0,"Falls Short",U877-T877),"")</f>
        <v/>
      </c>
      <c r="W877">
        <f>IF(AND(R877&lt;&gt;"",V877&lt;&gt;"Falls Short"),20*V877,"")</f>
        <v/>
      </c>
    </row>
    <row r="878">
      <c r="Q878">
        <f>LEFT(I878,9)</f>
        <v/>
      </c>
      <c r="R878">
        <f>TRIM(B878)</f>
        <v/>
      </c>
      <c r="S878">
        <f>COUNTIF($X$1:$X$9,R878) &gt; 0</f>
        <v/>
      </c>
      <c r="T878">
        <f>IF(AND(S878=FALSE,LEN(R878)&gt;2),4,IF(S878=TRUE,INDEX($Y$1:$Y$9,MATCH(R878,$X$1:$X$9,0)),""))</f>
        <v/>
      </c>
      <c r="U878">
        <f>IF(R878&lt;&gt;"",IF(Q883="",0,MATCH(TRUE,INDEX(Q883:$Q$1100="",0),0)-1),"")</f>
        <v/>
      </c>
      <c r="V878">
        <f>IF(AND(T878&lt;&gt;"",U878&lt;&gt;""),IF(U878-T878&lt;=0,"Falls Short",U878-T878),"")</f>
        <v/>
      </c>
      <c r="W878">
        <f>IF(AND(R878&lt;&gt;"",V878&lt;&gt;"Falls Short"),20*V878,"")</f>
        <v/>
      </c>
    </row>
    <row r="879">
      <c r="Q879">
        <f>LEFT(I879,9)</f>
        <v/>
      </c>
      <c r="R879">
        <f>TRIM(B879)</f>
        <v/>
      </c>
      <c r="S879">
        <f>COUNTIF($X$1:$X$9,R879) &gt; 0</f>
        <v/>
      </c>
      <c r="T879">
        <f>IF(AND(S879=FALSE,LEN(R879)&gt;2),4,IF(S879=TRUE,INDEX($Y$1:$Y$9,MATCH(R879,$X$1:$X$9,0)),""))</f>
        <v/>
      </c>
      <c r="U879">
        <f>IF(R879&lt;&gt;"",IF(Q884="",0,MATCH(TRUE,INDEX(Q884:$Q$1100="",0),0)-1),"")</f>
        <v/>
      </c>
      <c r="V879">
        <f>IF(AND(T879&lt;&gt;"",U879&lt;&gt;""),IF(U879-T879&lt;=0,"Falls Short",U879-T879),"")</f>
        <v/>
      </c>
      <c r="W879">
        <f>IF(AND(R879&lt;&gt;"",V879&lt;&gt;"Falls Short"),20*V879,"")</f>
        <v/>
      </c>
    </row>
    <row r="880">
      <c r="Q880">
        <f>LEFT(I880,9)</f>
        <v/>
      </c>
      <c r="R880">
        <f>TRIM(B880)</f>
        <v/>
      </c>
      <c r="S880">
        <f>COUNTIF($X$1:$X$9,R880) &gt; 0</f>
        <v/>
      </c>
      <c r="T880">
        <f>IF(AND(S880=FALSE,LEN(R880)&gt;2),4,IF(S880=TRUE,INDEX($Y$1:$Y$9,MATCH(R880,$X$1:$X$9,0)),""))</f>
        <v/>
      </c>
      <c r="U880">
        <f>IF(R880&lt;&gt;"",IF(Q885="",0,MATCH(TRUE,INDEX(Q885:$Q$1100="",0),0)-1),"")</f>
        <v/>
      </c>
      <c r="V880">
        <f>IF(AND(T880&lt;&gt;"",U880&lt;&gt;""),IF(U880-T880&lt;=0,"Falls Short",U880-T880),"")</f>
        <v/>
      </c>
      <c r="W880">
        <f>IF(AND(R880&lt;&gt;"",V880&lt;&gt;"Falls Short"),20*V880,"")</f>
        <v/>
      </c>
    </row>
    <row r="881">
      <c r="Q881">
        <f>LEFT(I881,9)</f>
        <v/>
      </c>
      <c r="R881">
        <f>TRIM(B881)</f>
        <v/>
      </c>
      <c r="S881">
        <f>COUNTIF($X$1:$X$9,R881) &gt; 0</f>
        <v/>
      </c>
      <c r="T881">
        <f>IF(AND(S881=FALSE,LEN(R881)&gt;2),4,IF(S881=TRUE,INDEX($Y$1:$Y$9,MATCH(R881,$X$1:$X$9,0)),""))</f>
        <v/>
      </c>
      <c r="U881">
        <f>IF(R881&lt;&gt;"",IF(Q886="",0,MATCH(TRUE,INDEX(Q886:$Q$1100="",0),0)-1),"")</f>
        <v/>
      </c>
      <c r="V881">
        <f>IF(AND(T881&lt;&gt;"",U881&lt;&gt;""),IF(U881-T881&lt;=0,"Falls Short",U881-T881),"")</f>
        <v/>
      </c>
      <c r="W881">
        <f>IF(AND(R881&lt;&gt;"",V881&lt;&gt;"Falls Short"),20*V881,"")</f>
        <v/>
      </c>
    </row>
    <row r="882">
      <c r="Q882">
        <f>LEFT(I882,9)</f>
        <v/>
      </c>
      <c r="R882">
        <f>TRIM(B882)</f>
        <v/>
      </c>
      <c r="S882">
        <f>COUNTIF($X$1:$X$9,R882) &gt; 0</f>
        <v/>
      </c>
      <c r="T882">
        <f>IF(AND(S882=FALSE,LEN(R882)&gt;2),4,IF(S882=TRUE,INDEX($Y$1:$Y$9,MATCH(R882,$X$1:$X$9,0)),""))</f>
        <v/>
      </c>
      <c r="U882">
        <f>IF(R882&lt;&gt;"",IF(Q887="",0,MATCH(TRUE,INDEX(Q887:$Q$1100="",0),0)-1),"")</f>
        <v/>
      </c>
      <c r="V882">
        <f>IF(AND(T882&lt;&gt;"",U882&lt;&gt;""),IF(U882-T882&lt;=0,"Falls Short",U882-T882),"")</f>
        <v/>
      </c>
      <c r="W882">
        <f>IF(AND(R882&lt;&gt;"",V882&lt;&gt;"Falls Short"),20*V882,"")</f>
        <v/>
      </c>
    </row>
    <row r="883">
      <c r="Q883">
        <f>LEFT(I883,9)</f>
        <v/>
      </c>
      <c r="R883">
        <f>TRIM(B883)</f>
        <v/>
      </c>
      <c r="S883">
        <f>COUNTIF($X$1:$X$9,R883) &gt; 0</f>
        <v/>
      </c>
      <c r="T883">
        <f>IF(AND(S883=FALSE,LEN(R883)&gt;2),4,IF(S883=TRUE,INDEX($Y$1:$Y$9,MATCH(R883,$X$1:$X$9,0)),""))</f>
        <v/>
      </c>
      <c r="U883">
        <f>IF(R883&lt;&gt;"",IF(Q888="",0,MATCH(TRUE,INDEX(Q888:$Q$1100="",0),0)-1),"")</f>
        <v/>
      </c>
      <c r="V883">
        <f>IF(AND(T883&lt;&gt;"",U883&lt;&gt;""),IF(U883-T883&lt;=0,"Falls Short",U883-T883),"")</f>
        <v/>
      </c>
      <c r="W883">
        <f>IF(AND(R883&lt;&gt;"",V883&lt;&gt;"Falls Short"),20*V883,"")</f>
        <v/>
      </c>
    </row>
    <row r="884">
      <c r="Q884">
        <f>LEFT(I884,9)</f>
        <v/>
      </c>
      <c r="R884">
        <f>TRIM(B884)</f>
        <v/>
      </c>
      <c r="S884">
        <f>COUNTIF($X$1:$X$9,R884) &gt; 0</f>
        <v/>
      </c>
      <c r="T884">
        <f>IF(AND(S884=FALSE,LEN(R884)&gt;2),4,IF(S884=TRUE,INDEX($Y$1:$Y$9,MATCH(R884,$X$1:$X$9,0)),""))</f>
        <v/>
      </c>
      <c r="U884">
        <f>IF(R884&lt;&gt;"",IF(Q889="",0,MATCH(TRUE,INDEX(Q889:$Q$1100="",0),0)-1),"")</f>
        <v/>
      </c>
      <c r="V884">
        <f>IF(AND(T884&lt;&gt;"",U884&lt;&gt;""),IF(U884-T884&lt;=0,"Falls Short",U884-T884),"")</f>
        <v/>
      </c>
      <c r="W884">
        <f>IF(AND(R884&lt;&gt;"",V884&lt;&gt;"Falls Short"),20*V884,"")</f>
        <v/>
      </c>
    </row>
    <row r="885">
      <c r="Q885">
        <f>LEFT(I885,9)</f>
        <v/>
      </c>
      <c r="R885">
        <f>TRIM(B885)</f>
        <v/>
      </c>
      <c r="S885">
        <f>COUNTIF($X$1:$X$9,R885) &gt; 0</f>
        <v/>
      </c>
      <c r="T885">
        <f>IF(AND(S885=FALSE,LEN(R885)&gt;2),4,IF(S885=TRUE,INDEX($Y$1:$Y$9,MATCH(R885,$X$1:$X$9,0)),""))</f>
        <v/>
      </c>
      <c r="U885">
        <f>IF(R885&lt;&gt;"",IF(Q890="",0,MATCH(TRUE,INDEX(Q890:$Q$1100="",0),0)-1),"")</f>
        <v/>
      </c>
      <c r="V885">
        <f>IF(AND(T885&lt;&gt;"",U885&lt;&gt;""),IF(U885-T885&lt;=0,"Falls Short",U885-T885),"")</f>
        <v/>
      </c>
      <c r="W885">
        <f>IF(AND(R885&lt;&gt;"",V885&lt;&gt;"Falls Short"),20*V885,"")</f>
        <v/>
      </c>
    </row>
    <row r="886">
      <c r="Q886">
        <f>LEFT(I886,9)</f>
        <v/>
      </c>
      <c r="R886">
        <f>TRIM(B886)</f>
        <v/>
      </c>
      <c r="S886">
        <f>COUNTIF($X$1:$X$9,R886) &gt; 0</f>
        <v/>
      </c>
      <c r="T886">
        <f>IF(AND(S886=FALSE,LEN(R886)&gt;2),4,IF(S886=TRUE,INDEX($Y$1:$Y$9,MATCH(R886,$X$1:$X$9,0)),""))</f>
        <v/>
      </c>
      <c r="U886">
        <f>IF(R886&lt;&gt;"",IF(Q891="",0,MATCH(TRUE,INDEX(Q891:$Q$1100="",0),0)-1),"")</f>
        <v/>
      </c>
      <c r="V886">
        <f>IF(AND(T886&lt;&gt;"",U886&lt;&gt;""),IF(U886-T886&lt;=0,"Falls Short",U886-T886),"")</f>
        <v/>
      </c>
      <c r="W886">
        <f>IF(AND(R886&lt;&gt;"",V886&lt;&gt;"Falls Short"),20*V886,"")</f>
        <v/>
      </c>
    </row>
    <row r="887">
      <c r="Q887">
        <f>LEFT(I887,9)</f>
        <v/>
      </c>
      <c r="R887">
        <f>TRIM(B887)</f>
        <v/>
      </c>
      <c r="S887">
        <f>COUNTIF($X$1:$X$9,R887) &gt; 0</f>
        <v/>
      </c>
      <c r="T887">
        <f>IF(AND(S887=FALSE,LEN(R887)&gt;2),4,IF(S887=TRUE,INDEX($Y$1:$Y$9,MATCH(R887,$X$1:$X$9,0)),""))</f>
        <v/>
      </c>
      <c r="U887">
        <f>IF(R887&lt;&gt;"",IF(Q892="",0,MATCH(TRUE,INDEX(Q892:$Q$1100="",0),0)-1),"")</f>
        <v/>
      </c>
      <c r="V887">
        <f>IF(AND(T887&lt;&gt;"",U887&lt;&gt;""),IF(U887-T887&lt;=0,"Falls Short",U887-T887),"")</f>
        <v/>
      </c>
      <c r="W887">
        <f>IF(AND(R887&lt;&gt;"",V887&lt;&gt;"Falls Short"),20*V887,"")</f>
        <v/>
      </c>
    </row>
    <row r="888">
      <c r="Q888">
        <f>LEFT(I888,9)</f>
        <v/>
      </c>
      <c r="R888">
        <f>TRIM(B888)</f>
        <v/>
      </c>
      <c r="S888">
        <f>COUNTIF($X$1:$X$9,R888) &gt; 0</f>
        <v/>
      </c>
      <c r="T888">
        <f>IF(AND(S888=FALSE,LEN(R888)&gt;2),4,IF(S888=TRUE,INDEX($Y$1:$Y$9,MATCH(R888,$X$1:$X$9,0)),""))</f>
        <v/>
      </c>
      <c r="U888">
        <f>IF(R888&lt;&gt;"",IF(Q893="",0,MATCH(TRUE,INDEX(Q893:$Q$1100="",0),0)-1),"")</f>
        <v/>
      </c>
      <c r="V888">
        <f>IF(AND(T888&lt;&gt;"",U888&lt;&gt;""),IF(U888-T888&lt;=0,"Falls Short",U888-T888),"")</f>
        <v/>
      </c>
      <c r="W888">
        <f>IF(AND(R888&lt;&gt;"",V888&lt;&gt;"Falls Short"),20*V888,"")</f>
        <v/>
      </c>
    </row>
    <row r="889">
      <c r="Q889">
        <f>LEFT(I889,9)</f>
        <v/>
      </c>
      <c r="R889">
        <f>TRIM(B889)</f>
        <v/>
      </c>
      <c r="S889">
        <f>COUNTIF($X$1:$X$9,R889) &gt; 0</f>
        <v/>
      </c>
      <c r="T889">
        <f>IF(AND(S889=FALSE,LEN(R889)&gt;2),4,IF(S889=TRUE,INDEX($Y$1:$Y$9,MATCH(R889,$X$1:$X$9,0)),""))</f>
        <v/>
      </c>
      <c r="U889">
        <f>IF(R889&lt;&gt;"",IF(Q894="",0,MATCH(TRUE,INDEX(Q894:$Q$1100="",0),0)-1),"")</f>
        <v/>
      </c>
      <c r="V889">
        <f>IF(AND(T889&lt;&gt;"",U889&lt;&gt;""),IF(U889-T889&lt;=0,"Falls Short",U889-T889),"")</f>
        <v/>
      </c>
      <c r="W889">
        <f>IF(AND(R889&lt;&gt;"",V889&lt;&gt;"Falls Short"),20*V889,"")</f>
        <v/>
      </c>
    </row>
    <row r="890">
      <c r="Q890">
        <f>LEFT(I890,9)</f>
        <v/>
      </c>
      <c r="R890">
        <f>TRIM(B890)</f>
        <v/>
      </c>
      <c r="S890">
        <f>COUNTIF($X$1:$X$9,R890) &gt; 0</f>
        <v/>
      </c>
      <c r="T890">
        <f>IF(AND(S890=FALSE,LEN(R890)&gt;2),4,IF(S890=TRUE,INDEX($Y$1:$Y$9,MATCH(R890,$X$1:$X$9,0)),""))</f>
        <v/>
      </c>
      <c r="U890">
        <f>IF(R890&lt;&gt;"",IF(Q895="",0,MATCH(TRUE,INDEX(Q895:$Q$1100="",0),0)-1),"")</f>
        <v/>
      </c>
      <c r="V890">
        <f>IF(AND(T890&lt;&gt;"",U890&lt;&gt;""),IF(U890-T890&lt;=0,"Falls Short",U890-T890),"")</f>
        <v/>
      </c>
      <c r="W890">
        <f>IF(AND(R890&lt;&gt;"",V890&lt;&gt;"Falls Short"),20*V890,"")</f>
        <v/>
      </c>
    </row>
    <row r="891">
      <c r="Q891">
        <f>LEFT(I891,9)</f>
        <v/>
      </c>
      <c r="R891">
        <f>TRIM(B891)</f>
        <v/>
      </c>
      <c r="S891">
        <f>COUNTIF($X$1:$X$9,R891) &gt; 0</f>
        <v/>
      </c>
      <c r="T891">
        <f>IF(AND(S891=FALSE,LEN(R891)&gt;2),4,IF(S891=TRUE,INDEX($Y$1:$Y$9,MATCH(R891,$X$1:$X$9,0)),""))</f>
        <v/>
      </c>
      <c r="U891">
        <f>IF(R891&lt;&gt;"",IF(Q896="",0,MATCH(TRUE,INDEX(Q896:$Q$1100="",0),0)-1),"")</f>
        <v/>
      </c>
      <c r="V891">
        <f>IF(AND(T891&lt;&gt;"",U891&lt;&gt;""),IF(U891-T891&lt;=0,"Falls Short",U891-T891),"")</f>
        <v/>
      </c>
      <c r="W891">
        <f>IF(AND(R891&lt;&gt;"",V891&lt;&gt;"Falls Short"),20*V891,"")</f>
        <v/>
      </c>
    </row>
    <row r="892">
      <c r="Q892">
        <f>LEFT(I892,9)</f>
        <v/>
      </c>
      <c r="R892">
        <f>TRIM(B892)</f>
        <v/>
      </c>
      <c r="S892">
        <f>COUNTIF($X$1:$X$9,R892) &gt; 0</f>
        <v/>
      </c>
      <c r="T892">
        <f>IF(AND(S892=FALSE,LEN(R892)&gt;2),4,IF(S892=TRUE,INDEX($Y$1:$Y$9,MATCH(R892,$X$1:$X$9,0)),""))</f>
        <v/>
      </c>
      <c r="U892">
        <f>IF(R892&lt;&gt;"",IF(Q897="",0,MATCH(TRUE,INDEX(Q897:$Q$1100="",0),0)-1),"")</f>
        <v/>
      </c>
      <c r="V892">
        <f>IF(AND(T892&lt;&gt;"",U892&lt;&gt;""),IF(U892-T892&lt;=0,"Falls Short",U892-T892),"")</f>
        <v/>
      </c>
      <c r="W892">
        <f>IF(AND(R892&lt;&gt;"",V892&lt;&gt;"Falls Short"),20*V892,"")</f>
        <v/>
      </c>
    </row>
    <row r="893">
      <c r="Q893">
        <f>LEFT(I893,9)</f>
        <v/>
      </c>
      <c r="R893">
        <f>TRIM(B893)</f>
        <v/>
      </c>
      <c r="S893">
        <f>COUNTIF($X$1:$X$9,R893) &gt; 0</f>
        <v/>
      </c>
      <c r="T893">
        <f>IF(AND(S893=FALSE,LEN(R893)&gt;2),4,IF(S893=TRUE,INDEX($Y$1:$Y$9,MATCH(R893,$X$1:$X$9,0)),""))</f>
        <v/>
      </c>
      <c r="U893">
        <f>IF(R893&lt;&gt;"",IF(Q898="",0,MATCH(TRUE,INDEX(Q898:$Q$1100="",0),0)-1),"")</f>
        <v/>
      </c>
      <c r="V893">
        <f>IF(AND(T893&lt;&gt;"",U893&lt;&gt;""),IF(U893-T893&lt;=0,"Falls Short",U893-T893),"")</f>
        <v/>
      </c>
      <c r="W893">
        <f>IF(AND(R893&lt;&gt;"",V893&lt;&gt;"Falls Short"),20*V893,"")</f>
        <v/>
      </c>
    </row>
    <row r="894">
      <c r="Q894">
        <f>LEFT(I894,9)</f>
        <v/>
      </c>
      <c r="R894">
        <f>TRIM(B894)</f>
        <v/>
      </c>
      <c r="S894">
        <f>COUNTIF($X$1:$X$9,R894) &gt; 0</f>
        <v/>
      </c>
      <c r="T894">
        <f>IF(AND(S894=FALSE,LEN(R894)&gt;2),4,IF(S894=TRUE,INDEX($Y$1:$Y$9,MATCH(R894,$X$1:$X$9,0)),""))</f>
        <v/>
      </c>
      <c r="U894">
        <f>IF(R894&lt;&gt;"",IF(Q899="",0,MATCH(TRUE,INDEX(Q899:$Q$1100="",0),0)-1),"")</f>
        <v/>
      </c>
      <c r="V894">
        <f>IF(AND(T894&lt;&gt;"",U894&lt;&gt;""),IF(U894-T894&lt;=0,"Falls Short",U894-T894),"")</f>
        <v/>
      </c>
      <c r="W894">
        <f>IF(AND(R894&lt;&gt;"",V894&lt;&gt;"Falls Short"),20*V894,"")</f>
        <v/>
      </c>
    </row>
    <row r="895">
      <c r="Q895">
        <f>LEFT(I895,9)</f>
        <v/>
      </c>
      <c r="R895">
        <f>TRIM(B895)</f>
        <v/>
      </c>
      <c r="S895">
        <f>COUNTIF($X$1:$X$9,R895) &gt; 0</f>
        <v/>
      </c>
      <c r="T895">
        <f>IF(AND(S895=FALSE,LEN(R895)&gt;2),4,IF(S895=TRUE,INDEX($Y$1:$Y$9,MATCH(R895,$X$1:$X$9,0)),""))</f>
        <v/>
      </c>
      <c r="U895">
        <f>IF(R895&lt;&gt;"",IF(Q900="",0,MATCH(TRUE,INDEX(Q900:$Q$1100="",0),0)-1),"")</f>
        <v/>
      </c>
      <c r="V895">
        <f>IF(AND(T895&lt;&gt;"",U895&lt;&gt;""),IF(U895-T895&lt;=0,"Falls Short",U895-T895),"")</f>
        <v/>
      </c>
      <c r="W895">
        <f>IF(AND(R895&lt;&gt;"",V895&lt;&gt;"Falls Short"),20*V895,"")</f>
        <v/>
      </c>
    </row>
    <row r="896">
      <c r="Q896">
        <f>LEFT(I896,9)</f>
        <v/>
      </c>
      <c r="R896">
        <f>TRIM(B896)</f>
        <v/>
      </c>
      <c r="S896">
        <f>COUNTIF($X$1:$X$9,R896) &gt; 0</f>
        <v/>
      </c>
      <c r="T896">
        <f>IF(AND(S896=FALSE,LEN(R896)&gt;2),4,IF(S896=TRUE,INDEX($Y$1:$Y$9,MATCH(R896,$X$1:$X$9,0)),""))</f>
        <v/>
      </c>
      <c r="U896">
        <f>IF(R896&lt;&gt;"",IF(Q901="",0,MATCH(TRUE,INDEX(Q901:$Q$1100="",0),0)-1),"")</f>
        <v/>
      </c>
      <c r="V896">
        <f>IF(AND(T896&lt;&gt;"",U896&lt;&gt;""),IF(U896-T896&lt;=0,"Falls Short",U896-T896),"")</f>
        <v/>
      </c>
      <c r="W896">
        <f>IF(AND(R896&lt;&gt;"",V896&lt;&gt;"Falls Short"),20*V896,"")</f>
        <v/>
      </c>
    </row>
    <row r="897">
      <c r="Q897">
        <f>LEFT(I897,9)</f>
        <v/>
      </c>
      <c r="R897">
        <f>TRIM(B897)</f>
        <v/>
      </c>
      <c r="S897">
        <f>COUNTIF($X$1:$X$9,R897) &gt; 0</f>
        <v/>
      </c>
      <c r="T897">
        <f>IF(AND(S897=FALSE,LEN(R897)&gt;2),4,IF(S897=TRUE,INDEX($Y$1:$Y$9,MATCH(R897,$X$1:$X$9,0)),""))</f>
        <v/>
      </c>
      <c r="U897">
        <f>IF(R897&lt;&gt;"",IF(Q902="",0,MATCH(TRUE,INDEX(Q902:$Q$1100="",0),0)-1),"")</f>
        <v/>
      </c>
      <c r="V897">
        <f>IF(AND(T897&lt;&gt;"",U897&lt;&gt;""),IF(U897-T897&lt;=0,"Falls Short",U897-T897),"")</f>
        <v/>
      </c>
      <c r="W897">
        <f>IF(AND(R897&lt;&gt;"",V897&lt;&gt;"Falls Short"),20*V897,"")</f>
        <v/>
      </c>
    </row>
    <row r="898">
      <c r="Q898">
        <f>LEFT(I898,9)</f>
        <v/>
      </c>
      <c r="R898">
        <f>TRIM(B898)</f>
        <v/>
      </c>
      <c r="S898">
        <f>COUNTIF($X$1:$X$9,R898) &gt; 0</f>
        <v/>
      </c>
      <c r="T898">
        <f>IF(AND(S898=FALSE,LEN(R898)&gt;2),4,IF(S898=TRUE,INDEX($Y$1:$Y$9,MATCH(R898,$X$1:$X$9,0)),""))</f>
        <v/>
      </c>
      <c r="U898">
        <f>IF(R898&lt;&gt;"",IF(Q903="",0,MATCH(TRUE,INDEX(Q903:$Q$1100="",0),0)-1),"")</f>
        <v/>
      </c>
      <c r="V898">
        <f>IF(AND(T898&lt;&gt;"",U898&lt;&gt;""),IF(U898-T898&lt;=0,"Falls Short",U898-T898),"")</f>
        <v/>
      </c>
      <c r="W898">
        <f>IF(AND(R898&lt;&gt;"",V898&lt;&gt;"Falls Short"),20*V898,"")</f>
        <v/>
      </c>
    </row>
    <row r="899">
      <c r="Q899">
        <f>LEFT(I899,9)</f>
        <v/>
      </c>
      <c r="R899">
        <f>TRIM(B899)</f>
        <v/>
      </c>
      <c r="S899">
        <f>COUNTIF($X$1:$X$9,R899) &gt; 0</f>
        <v/>
      </c>
      <c r="T899">
        <f>IF(AND(S899=FALSE,LEN(R899)&gt;2),4,IF(S899=TRUE,INDEX($Y$1:$Y$9,MATCH(R899,$X$1:$X$9,0)),""))</f>
        <v/>
      </c>
      <c r="U899">
        <f>IF(R899&lt;&gt;"",IF(Q904="",0,MATCH(TRUE,INDEX(Q904:$Q$1100="",0),0)-1),"")</f>
        <v/>
      </c>
      <c r="V899">
        <f>IF(AND(T899&lt;&gt;"",U899&lt;&gt;""),IF(U899-T899&lt;=0,"Falls Short",U899-T899),"")</f>
        <v/>
      </c>
      <c r="W899">
        <f>IF(AND(R899&lt;&gt;"",V899&lt;&gt;"Falls Short"),20*V899,"")</f>
        <v/>
      </c>
    </row>
    <row r="900">
      <c r="Q900">
        <f>LEFT(I900,9)</f>
        <v/>
      </c>
      <c r="R900">
        <f>TRIM(B900)</f>
        <v/>
      </c>
      <c r="S900">
        <f>COUNTIF($X$1:$X$9,R900) &gt; 0</f>
        <v/>
      </c>
      <c r="T900">
        <f>IF(AND(S900=FALSE,LEN(R900)&gt;2),4,IF(S900=TRUE,INDEX($Y$1:$Y$9,MATCH(R900,$X$1:$X$9,0)),""))</f>
        <v/>
      </c>
      <c r="U900">
        <f>IF(R900&lt;&gt;"",IF(Q905="",0,MATCH(TRUE,INDEX(Q905:$Q$1100="",0),0)-1),"")</f>
        <v/>
      </c>
      <c r="V900">
        <f>IF(AND(T900&lt;&gt;"",U900&lt;&gt;""),IF(U900-T900&lt;=0,"Falls Short",U900-T900),"")</f>
        <v/>
      </c>
      <c r="W900">
        <f>IF(AND(R900&lt;&gt;"",V900&lt;&gt;"Falls Short"),20*V900,"")</f>
        <v/>
      </c>
    </row>
    <row r="901">
      <c r="Q901">
        <f>LEFT(I901,9)</f>
        <v/>
      </c>
      <c r="R901">
        <f>TRIM(B901)</f>
        <v/>
      </c>
      <c r="S901">
        <f>COUNTIF($X$1:$X$9,R901) &gt; 0</f>
        <v/>
      </c>
      <c r="T901">
        <f>IF(AND(S901=FALSE,LEN(R901)&gt;2),4,IF(S901=TRUE,INDEX($Y$1:$Y$9,MATCH(R901,$X$1:$X$9,0)),""))</f>
        <v/>
      </c>
      <c r="U901">
        <f>IF(R901&lt;&gt;"",IF(Q906="",0,MATCH(TRUE,INDEX(Q906:$Q$1100="",0),0)-1),"")</f>
        <v/>
      </c>
      <c r="V901">
        <f>IF(AND(T901&lt;&gt;"",U901&lt;&gt;""),IF(U901-T901&lt;=0,"Falls Short",U901-T901),"")</f>
        <v/>
      </c>
      <c r="W901">
        <f>IF(AND(R901&lt;&gt;"",V901&lt;&gt;"Falls Short"),20*V901,"")</f>
        <v/>
      </c>
    </row>
    <row r="902">
      <c r="Q902">
        <f>LEFT(I902,9)</f>
        <v/>
      </c>
      <c r="R902">
        <f>TRIM(B902)</f>
        <v/>
      </c>
      <c r="S902">
        <f>COUNTIF($X$1:$X$9,R902) &gt; 0</f>
        <v/>
      </c>
      <c r="T902">
        <f>IF(AND(S902=FALSE,LEN(R902)&gt;2),4,IF(S902=TRUE,INDEX($Y$1:$Y$9,MATCH(R902,$X$1:$X$9,0)),""))</f>
        <v/>
      </c>
      <c r="U902">
        <f>IF(R902&lt;&gt;"",IF(Q907="",0,MATCH(TRUE,INDEX(Q907:$Q$1100="",0),0)-1),"")</f>
        <v/>
      </c>
      <c r="V902">
        <f>IF(AND(T902&lt;&gt;"",U902&lt;&gt;""),IF(U902-T902&lt;=0,"Falls Short",U902-T902),"")</f>
        <v/>
      </c>
      <c r="W902">
        <f>IF(AND(R902&lt;&gt;"",V902&lt;&gt;"Falls Short"),20*V902,"")</f>
        <v/>
      </c>
    </row>
    <row r="903">
      <c r="Q903">
        <f>LEFT(I903,9)</f>
        <v/>
      </c>
      <c r="R903">
        <f>TRIM(B903)</f>
        <v/>
      </c>
      <c r="S903">
        <f>COUNTIF($X$1:$X$9,R903) &gt; 0</f>
        <v/>
      </c>
      <c r="T903">
        <f>IF(AND(S903=FALSE,LEN(R903)&gt;2),4,IF(S903=TRUE,INDEX($Y$1:$Y$9,MATCH(R903,$X$1:$X$9,0)),""))</f>
        <v/>
      </c>
      <c r="U903">
        <f>IF(R903&lt;&gt;"",IF(Q908="",0,MATCH(TRUE,INDEX(Q908:$Q$1100="",0),0)-1),"")</f>
        <v/>
      </c>
      <c r="V903">
        <f>IF(AND(T903&lt;&gt;"",U903&lt;&gt;""),IF(U903-T903&lt;=0,"Falls Short",U903-T903),"")</f>
        <v/>
      </c>
      <c r="W903">
        <f>IF(AND(R903&lt;&gt;"",V903&lt;&gt;"Falls Short"),20*V903,"")</f>
        <v/>
      </c>
    </row>
    <row r="904">
      <c r="Q904">
        <f>LEFT(I904,9)</f>
        <v/>
      </c>
      <c r="R904">
        <f>TRIM(B904)</f>
        <v/>
      </c>
      <c r="S904">
        <f>COUNTIF($X$1:$X$9,R904) &gt; 0</f>
        <v/>
      </c>
      <c r="T904">
        <f>IF(AND(S904=FALSE,LEN(R904)&gt;2),4,IF(S904=TRUE,INDEX($Y$1:$Y$9,MATCH(R904,$X$1:$X$9,0)),""))</f>
        <v/>
      </c>
      <c r="U904">
        <f>IF(R904&lt;&gt;"",IF(Q909="",0,MATCH(TRUE,INDEX(Q909:$Q$1100="",0),0)-1),"")</f>
        <v/>
      </c>
      <c r="V904">
        <f>IF(AND(T904&lt;&gt;"",U904&lt;&gt;""),IF(U904-T904&lt;=0,"Falls Short",U904-T904),"")</f>
        <v/>
      </c>
      <c r="W904">
        <f>IF(AND(R904&lt;&gt;"",V904&lt;&gt;"Falls Short"),20*V904,"")</f>
        <v/>
      </c>
    </row>
    <row r="905">
      <c r="Q905">
        <f>LEFT(I905,9)</f>
        <v/>
      </c>
      <c r="R905">
        <f>TRIM(B905)</f>
        <v/>
      </c>
      <c r="S905">
        <f>COUNTIF($X$1:$X$9,R905) &gt; 0</f>
        <v/>
      </c>
      <c r="T905">
        <f>IF(AND(S905=FALSE,LEN(R905)&gt;2),4,IF(S905=TRUE,INDEX($Y$1:$Y$9,MATCH(R905,$X$1:$X$9,0)),""))</f>
        <v/>
      </c>
      <c r="U905">
        <f>IF(R905&lt;&gt;"",IF(Q910="",0,MATCH(TRUE,INDEX(Q910:$Q$1100="",0),0)-1),"")</f>
        <v/>
      </c>
      <c r="V905">
        <f>IF(AND(T905&lt;&gt;"",U905&lt;&gt;""),IF(U905-T905&lt;=0,"Falls Short",U905-T905),"")</f>
        <v/>
      </c>
      <c r="W905">
        <f>IF(AND(R905&lt;&gt;"",V905&lt;&gt;"Falls Short"),20*V905,"")</f>
        <v/>
      </c>
    </row>
    <row r="906">
      <c r="Q906">
        <f>LEFT(I906,9)</f>
        <v/>
      </c>
      <c r="R906">
        <f>TRIM(B906)</f>
        <v/>
      </c>
      <c r="S906">
        <f>COUNTIF($X$1:$X$9,R906) &gt; 0</f>
        <v/>
      </c>
      <c r="T906">
        <f>IF(AND(S906=FALSE,LEN(R906)&gt;2),4,IF(S906=TRUE,INDEX($Y$1:$Y$9,MATCH(R906,$X$1:$X$9,0)),""))</f>
        <v/>
      </c>
      <c r="U906">
        <f>IF(R906&lt;&gt;"",IF(Q911="",0,MATCH(TRUE,INDEX(Q911:$Q$1100="",0),0)-1),"")</f>
        <v/>
      </c>
      <c r="V906">
        <f>IF(AND(T906&lt;&gt;"",U906&lt;&gt;""),IF(U906-T906&lt;=0,"Falls Short",U906-T906),"")</f>
        <v/>
      </c>
      <c r="W906">
        <f>IF(AND(R906&lt;&gt;"",V906&lt;&gt;"Falls Short"),20*V906,"")</f>
        <v/>
      </c>
    </row>
    <row r="907">
      <c r="Q907">
        <f>LEFT(I907,9)</f>
        <v/>
      </c>
      <c r="R907">
        <f>TRIM(B907)</f>
        <v/>
      </c>
      <c r="S907">
        <f>COUNTIF($X$1:$X$9,R907) &gt; 0</f>
        <v/>
      </c>
      <c r="T907">
        <f>IF(AND(S907=FALSE,LEN(R907)&gt;2),4,IF(S907=TRUE,INDEX($Y$1:$Y$9,MATCH(R907,$X$1:$X$9,0)),""))</f>
        <v/>
      </c>
      <c r="U907">
        <f>IF(R907&lt;&gt;"",IF(Q912="",0,MATCH(TRUE,INDEX(Q912:$Q$1100="",0),0)-1),"")</f>
        <v/>
      </c>
      <c r="V907">
        <f>IF(AND(T907&lt;&gt;"",U907&lt;&gt;""),IF(U907-T907&lt;=0,"Falls Short",U907-T907),"")</f>
        <v/>
      </c>
      <c r="W907">
        <f>IF(AND(R907&lt;&gt;"",V907&lt;&gt;"Falls Short"),20*V907,"")</f>
        <v/>
      </c>
    </row>
    <row r="908">
      <c r="Q908">
        <f>LEFT(I908,9)</f>
        <v/>
      </c>
      <c r="R908">
        <f>TRIM(B908)</f>
        <v/>
      </c>
      <c r="S908">
        <f>COUNTIF($X$1:$X$9,R908) &gt; 0</f>
        <v/>
      </c>
      <c r="T908">
        <f>IF(AND(S908=FALSE,LEN(R908)&gt;2),4,IF(S908=TRUE,INDEX($Y$1:$Y$9,MATCH(R908,$X$1:$X$9,0)),""))</f>
        <v/>
      </c>
      <c r="U908">
        <f>IF(R908&lt;&gt;"",IF(Q913="",0,MATCH(TRUE,INDEX(Q913:$Q$1100="",0),0)-1),"")</f>
        <v/>
      </c>
      <c r="V908">
        <f>IF(AND(T908&lt;&gt;"",U908&lt;&gt;""),IF(U908-T908&lt;=0,"Falls Short",U908-T908),"")</f>
        <v/>
      </c>
      <c r="W908">
        <f>IF(AND(R908&lt;&gt;"",V908&lt;&gt;"Falls Short"),20*V908,"")</f>
        <v/>
      </c>
    </row>
    <row r="909">
      <c r="Q909">
        <f>LEFT(I909,9)</f>
        <v/>
      </c>
      <c r="R909">
        <f>TRIM(B909)</f>
        <v/>
      </c>
      <c r="S909">
        <f>COUNTIF($X$1:$X$9,R909) &gt; 0</f>
        <v/>
      </c>
      <c r="T909">
        <f>IF(AND(S909=FALSE,LEN(R909)&gt;2),4,IF(S909=TRUE,INDEX($Y$1:$Y$9,MATCH(R909,$X$1:$X$9,0)),""))</f>
        <v/>
      </c>
      <c r="U909">
        <f>IF(R909&lt;&gt;"",IF(Q914="",0,MATCH(TRUE,INDEX(Q914:$Q$1100="",0),0)-1),"")</f>
        <v/>
      </c>
      <c r="V909">
        <f>IF(AND(T909&lt;&gt;"",U909&lt;&gt;""),IF(U909-T909&lt;=0,"Falls Short",U909-T909),"")</f>
        <v/>
      </c>
      <c r="W909">
        <f>IF(AND(R909&lt;&gt;"",V909&lt;&gt;"Falls Short"),20*V909,"")</f>
        <v/>
      </c>
    </row>
    <row r="910">
      <c r="Q910">
        <f>LEFT(I910,9)</f>
        <v/>
      </c>
      <c r="R910">
        <f>TRIM(B910)</f>
        <v/>
      </c>
      <c r="S910">
        <f>COUNTIF($X$1:$X$9,R910) &gt; 0</f>
        <v/>
      </c>
      <c r="T910">
        <f>IF(AND(S910=FALSE,LEN(R910)&gt;2),4,IF(S910=TRUE,INDEX($Y$1:$Y$9,MATCH(R910,$X$1:$X$9,0)),""))</f>
        <v/>
      </c>
      <c r="U910">
        <f>IF(R910&lt;&gt;"",IF(Q915="",0,MATCH(TRUE,INDEX(Q915:$Q$1100="",0),0)-1),"")</f>
        <v/>
      </c>
      <c r="V910">
        <f>IF(AND(T910&lt;&gt;"",U910&lt;&gt;""),IF(U910-T910&lt;=0,"Falls Short",U910-T910),"")</f>
        <v/>
      </c>
      <c r="W910">
        <f>IF(AND(R910&lt;&gt;"",V910&lt;&gt;"Falls Short"),20*V910,"")</f>
        <v/>
      </c>
    </row>
    <row r="911">
      <c r="Q911">
        <f>LEFT(I911,9)</f>
        <v/>
      </c>
      <c r="R911">
        <f>TRIM(B911)</f>
        <v/>
      </c>
      <c r="S911">
        <f>COUNTIF($X$1:$X$9,R911) &gt; 0</f>
        <v/>
      </c>
      <c r="T911">
        <f>IF(AND(S911=FALSE,LEN(R911)&gt;2),4,IF(S911=TRUE,INDEX($Y$1:$Y$9,MATCH(R911,$X$1:$X$9,0)),""))</f>
        <v/>
      </c>
      <c r="U911">
        <f>IF(R911&lt;&gt;"",IF(Q916="",0,MATCH(TRUE,INDEX(Q916:$Q$1100="",0),0)-1),"")</f>
        <v/>
      </c>
      <c r="V911">
        <f>IF(AND(T911&lt;&gt;"",U911&lt;&gt;""),IF(U911-T911&lt;=0,"Falls Short",U911-T911),"")</f>
        <v/>
      </c>
      <c r="W911">
        <f>IF(AND(R911&lt;&gt;"",V911&lt;&gt;"Falls Short"),20*V911,"")</f>
        <v/>
      </c>
    </row>
    <row r="912">
      <c r="Q912">
        <f>LEFT(I912,9)</f>
        <v/>
      </c>
      <c r="R912">
        <f>TRIM(B912)</f>
        <v/>
      </c>
      <c r="S912">
        <f>COUNTIF($X$1:$X$9,R912) &gt; 0</f>
        <v/>
      </c>
      <c r="T912">
        <f>IF(AND(S912=FALSE,LEN(R912)&gt;2),4,IF(S912=TRUE,INDEX($Y$1:$Y$9,MATCH(R912,$X$1:$X$9,0)),""))</f>
        <v/>
      </c>
      <c r="U912">
        <f>IF(R912&lt;&gt;"",IF(Q917="",0,MATCH(TRUE,INDEX(Q917:$Q$1100="",0),0)-1),"")</f>
        <v/>
      </c>
      <c r="V912">
        <f>IF(AND(T912&lt;&gt;"",U912&lt;&gt;""),IF(U912-T912&lt;=0,"Falls Short",U912-T912),"")</f>
        <v/>
      </c>
      <c r="W912">
        <f>IF(AND(R912&lt;&gt;"",V912&lt;&gt;"Falls Short"),20*V912,"")</f>
        <v/>
      </c>
    </row>
    <row r="913">
      <c r="Q913">
        <f>LEFT(I913,9)</f>
        <v/>
      </c>
      <c r="R913">
        <f>TRIM(B913)</f>
        <v/>
      </c>
      <c r="S913">
        <f>COUNTIF($X$1:$X$9,R913) &gt; 0</f>
        <v/>
      </c>
      <c r="T913">
        <f>IF(AND(S913=FALSE,LEN(R913)&gt;2),4,IF(S913=TRUE,INDEX($Y$1:$Y$9,MATCH(R913,$X$1:$X$9,0)),""))</f>
        <v/>
      </c>
      <c r="U913">
        <f>IF(R913&lt;&gt;"",IF(Q918="",0,MATCH(TRUE,INDEX(Q918:$Q$1100="",0),0)-1),"")</f>
        <v/>
      </c>
      <c r="V913">
        <f>IF(AND(T913&lt;&gt;"",U913&lt;&gt;""),IF(U913-T913&lt;=0,"Falls Short",U913-T913),"")</f>
        <v/>
      </c>
      <c r="W913">
        <f>IF(AND(R913&lt;&gt;"",V913&lt;&gt;"Falls Short"),20*V913,"")</f>
        <v/>
      </c>
    </row>
    <row r="914">
      <c r="Q914">
        <f>LEFT(I914,9)</f>
        <v/>
      </c>
      <c r="R914">
        <f>TRIM(B914)</f>
        <v/>
      </c>
      <c r="S914">
        <f>COUNTIF($X$1:$X$9,R914) &gt; 0</f>
        <v/>
      </c>
      <c r="T914">
        <f>IF(AND(S914=FALSE,LEN(R914)&gt;2),4,IF(S914=TRUE,INDEX($Y$1:$Y$9,MATCH(R914,$X$1:$X$9,0)),""))</f>
        <v/>
      </c>
      <c r="U914">
        <f>IF(R914&lt;&gt;"",IF(Q919="",0,MATCH(TRUE,INDEX(Q919:$Q$1100="",0),0)-1),"")</f>
        <v/>
      </c>
      <c r="V914">
        <f>IF(AND(T914&lt;&gt;"",U914&lt;&gt;""),IF(U914-T914&lt;=0,"Falls Short",U914-T914),"")</f>
        <v/>
      </c>
      <c r="W914">
        <f>IF(AND(R914&lt;&gt;"",V914&lt;&gt;"Falls Short"),20*V914,"")</f>
        <v/>
      </c>
    </row>
    <row r="915">
      <c r="Q915">
        <f>LEFT(I915,9)</f>
        <v/>
      </c>
      <c r="R915">
        <f>TRIM(B915)</f>
        <v/>
      </c>
      <c r="S915">
        <f>COUNTIF($X$1:$X$9,R915) &gt; 0</f>
        <v/>
      </c>
      <c r="T915">
        <f>IF(AND(S915=FALSE,LEN(R915)&gt;2),4,IF(S915=TRUE,INDEX($Y$1:$Y$9,MATCH(R915,$X$1:$X$9,0)),""))</f>
        <v/>
      </c>
      <c r="U915">
        <f>IF(R915&lt;&gt;"",IF(Q920="",0,MATCH(TRUE,INDEX(Q920:$Q$1100="",0),0)-1),"")</f>
        <v/>
      </c>
      <c r="V915">
        <f>IF(AND(T915&lt;&gt;"",U915&lt;&gt;""),IF(U915-T915&lt;=0,"Falls Short",U915-T915),"")</f>
        <v/>
      </c>
      <c r="W915">
        <f>IF(AND(R915&lt;&gt;"",V915&lt;&gt;"Falls Short"),20*V915,"")</f>
        <v/>
      </c>
    </row>
    <row r="916">
      <c r="Q916">
        <f>LEFT(I916,9)</f>
        <v/>
      </c>
      <c r="R916">
        <f>TRIM(B916)</f>
        <v/>
      </c>
      <c r="S916">
        <f>COUNTIF($X$1:$X$9,R916) &gt; 0</f>
        <v/>
      </c>
      <c r="T916">
        <f>IF(AND(S916=FALSE,LEN(R916)&gt;2),4,IF(S916=TRUE,INDEX($Y$1:$Y$9,MATCH(R916,$X$1:$X$9,0)),""))</f>
        <v/>
      </c>
      <c r="U916">
        <f>IF(R916&lt;&gt;"",IF(Q921="",0,MATCH(TRUE,INDEX(Q921:$Q$1100="",0),0)-1),"")</f>
        <v/>
      </c>
      <c r="V916">
        <f>IF(AND(T916&lt;&gt;"",U916&lt;&gt;""),IF(U916-T916&lt;=0,"Falls Short",U916-T916),"")</f>
        <v/>
      </c>
      <c r="W916">
        <f>IF(AND(R916&lt;&gt;"",V916&lt;&gt;"Falls Short"),20*V916,"")</f>
        <v/>
      </c>
    </row>
    <row r="917">
      <c r="Q917">
        <f>LEFT(I917,9)</f>
        <v/>
      </c>
      <c r="R917">
        <f>TRIM(B917)</f>
        <v/>
      </c>
      <c r="S917">
        <f>COUNTIF($X$1:$X$9,R917) &gt; 0</f>
        <v/>
      </c>
      <c r="T917">
        <f>IF(AND(S917=FALSE,LEN(R917)&gt;2),4,IF(S917=TRUE,INDEX($Y$1:$Y$9,MATCH(R917,$X$1:$X$9,0)),""))</f>
        <v/>
      </c>
      <c r="U917">
        <f>IF(R917&lt;&gt;"",IF(Q922="",0,MATCH(TRUE,INDEX(Q922:$Q$1100="",0),0)-1),"")</f>
        <v/>
      </c>
      <c r="V917">
        <f>IF(AND(T917&lt;&gt;"",U917&lt;&gt;""),IF(U917-T917&lt;=0,"Falls Short",U917-T917),"")</f>
        <v/>
      </c>
      <c r="W917">
        <f>IF(AND(R917&lt;&gt;"",V917&lt;&gt;"Falls Short"),20*V917,"")</f>
        <v/>
      </c>
    </row>
    <row r="918">
      <c r="Q918">
        <f>LEFT(I918,9)</f>
        <v/>
      </c>
      <c r="R918">
        <f>TRIM(B918)</f>
        <v/>
      </c>
      <c r="S918">
        <f>COUNTIF($X$1:$X$9,R918) &gt; 0</f>
        <v/>
      </c>
      <c r="T918">
        <f>IF(AND(S918=FALSE,LEN(R918)&gt;2),4,IF(S918=TRUE,INDEX($Y$1:$Y$9,MATCH(R918,$X$1:$X$9,0)),""))</f>
        <v/>
      </c>
      <c r="U918">
        <f>IF(R918&lt;&gt;"",IF(Q923="",0,MATCH(TRUE,INDEX(Q923:$Q$1100="",0),0)-1),"")</f>
        <v/>
      </c>
      <c r="V918">
        <f>IF(AND(T918&lt;&gt;"",U918&lt;&gt;""),IF(U918-T918&lt;=0,"Falls Short",U918-T918),"")</f>
        <v/>
      </c>
      <c r="W918">
        <f>IF(AND(R918&lt;&gt;"",V918&lt;&gt;"Falls Short"),20*V918,"")</f>
        <v/>
      </c>
    </row>
    <row r="919">
      <c r="Q919">
        <f>LEFT(I919,9)</f>
        <v/>
      </c>
      <c r="R919">
        <f>TRIM(B919)</f>
        <v/>
      </c>
      <c r="S919">
        <f>COUNTIF($X$1:$X$9,R919) &gt; 0</f>
        <v/>
      </c>
      <c r="T919">
        <f>IF(AND(S919=FALSE,LEN(R919)&gt;2),4,IF(S919=TRUE,INDEX($Y$1:$Y$9,MATCH(R919,$X$1:$X$9,0)),""))</f>
        <v/>
      </c>
      <c r="U919">
        <f>IF(R919&lt;&gt;"",IF(Q924="",0,MATCH(TRUE,INDEX(Q924:$Q$1100="",0),0)-1),"")</f>
        <v/>
      </c>
      <c r="V919">
        <f>IF(AND(T919&lt;&gt;"",U919&lt;&gt;""),IF(U919-T919&lt;=0,"Falls Short",U919-T919),"")</f>
        <v/>
      </c>
      <c r="W919">
        <f>IF(AND(R919&lt;&gt;"",V919&lt;&gt;"Falls Short"),20*V919,"")</f>
        <v/>
      </c>
    </row>
    <row r="920">
      <c r="Q920">
        <f>LEFT(I920,9)</f>
        <v/>
      </c>
      <c r="R920">
        <f>TRIM(B920)</f>
        <v/>
      </c>
      <c r="S920">
        <f>COUNTIF($X$1:$X$9,R920) &gt; 0</f>
        <v/>
      </c>
      <c r="T920">
        <f>IF(AND(S920=FALSE,LEN(R920)&gt;2),4,IF(S920=TRUE,INDEX($Y$1:$Y$9,MATCH(R920,$X$1:$X$9,0)),""))</f>
        <v/>
      </c>
      <c r="U920">
        <f>IF(R920&lt;&gt;"",IF(Q925="",0,MATCH(TRUE,INDEX(Q925:$Q$1100="",0),0)-1),"")</f>
        <v/>
      </c>
      <c r="V920">
        <f>IF(AND(T920&lt;&gt;"",U920&lt;&gt;""),IF(U920-T920&lt;=0,"Falls Short",U920-T920),"")</f>
        <v/>
      </c>
      <c r="W920">
        <f>IF(AND(R920&lt;&gt;"",V920&lt;&gt;"Falls Short"),20*V920,"")</f>
        <v/>
      </c>
    </row>
    <row r="921">
      <c r="Q921">
        <f>LEFT(I921,9)</f>
        <v/>
      </c>
      <c r="R921">
        <f>TRIM(B921)</f>
        <v/>
      </c>
      <c r="S921">
        <f>COUNTIF($X$1:$X$9,R921) &gt; 0</f>
        <v/>
      </c>
      <c r="T921">
        <f>IF(AND(S921=FALSE,LEN(R921)&gt;2),4,IF(S921=TRUE,INDEX($Y$1:$Y$9,MATCH(R921,$X$1:$X$9,0)),""))</f>
        <v/>
      </c>
      <c r="U921">
        <f>IF(R921&lt;&gt;"",IF(Q926="",0,MATCH(TRUE,INDEX(Q926:$Q$1100="",0),0)-1),"")</f>
        <v/>
      </c>
      <c r="V921">
        <f>IF(AND(T921&lt;&gt;"",U921&lt;&gt;""),IF(U921-T921&lt;=0,"Falls Short",U921-T921),"")</f>
        <v/>
      </c>
      <c r="W921">
        <f>IF(AND(R921&lt;&gt;"",V921&lt;&gt;"Falls Short"),20*V921,"")</f>
        <v/>
      </c>
    </row>
    <row r="922">
      <c r="Q922">
        <f>LEFT(I922,9)</f>
        <v/>
      </c>
      <c r="R922">
        <f>TRIM(B922)</f>
        <v/>
      </c>
      <c r="S922">
        <f>COUNTIF($X$1:$X$9,R922) &gt; 0</f>
        <v/>
      </c>
      <c r="T922">
        <f>IF(AND(S922=FALSE,LEN(R922)&gt;2),4,IF(S922=TRUE,INDEX($Y$1:$Y$9,MATCH(R922,$X$1:$X$9,0)),""))</f>
        <v/>
      </c>
      <c r="U922">
        <f>IF(R922&lt;&gt;"",IF(Q927="",0,MATCH(TRUE,INDEX(Q927:$Q$1100="",0),0)-1),"")</f>
        <v/>
      </c>
      <c r="V922">
        <f>IF(AND(T922&lt;&gt;"",U922&lt;&gt;""),IF(U922-T922&lt;=0,"Falls Short",U922-T922),"")</f>
        <v/>
      </c>
      <c r="W922">
        <f>IF(AND(R922&lt;&gt;"",V922&lt;&gt;"Falls Short"),20*V922,"")</f>
        <v/>
      </c>
    </row>
    <row r="923">
      <c r="Q923">
        <f>LEFT(I923,9)</f>
        <v/>
      </c>
      <c r="R923">
        <f>TRIM(B923)</f>
        <v/>
      </c>
      <c r="S923">
        <f>COUNTIF($X$1:$X$9,R923) &gt; 0</f>
        <v/>
      </c>
      <c r="T923">
        <f>IF(AND(S923=FALSE,LEN(R923)&gt;2),4,IF(S923=TRUE,INDEX($Y$1:$Y$9,MATCH(R923,$X$1:$X$9,0)),""))</f>
        <v/>
      </c>
      <c r="U923">
        <f>IF(R923&lt;&gt;"",IF(Q928="",0,MATCH(TRUE,INDEX(Q928:$Q$1100="",0),0)-1),"")</f>
        <v/>
      </c>
      <c r="V923">
        <f>IF(AND(T923&lt;&gt;"",U923&lt;&gt;""),IF(U923-T923&lt;=0,"Falls Short",U923-T923),"")</f>
        <v/>
      </c>
      <c r="W923">
        <f>IF(AND(R923&lt;&gt;"",V923&lt;&gt;"Falls Short"),20*V923,"")</f>
        <v/>
      </c>
    </row>
    <row r="924">
      <c r="Q924">
        <f>LEFT(I924,9)</f>
        <v/>
      </c>
      <c r="R924">
        <f>TRIM(B924)</f>
        <v/>
      </c>
      <c r="S924">
        <f>COUNTIF($X$1:$X$9,R924) &gt; 0</f>
        <v/>
      </c>
      <c r="T924">
        <f>IF(AND(S924=FALSE,LEN(R924)&gt;2),4,IF(S924=TRUE,INDEX($Y$1:$Y$9,MATCH(R924,$X$1:$X$9,0)),""))</f>
        <v/>
      </c>
      <c r="U924">
        <f>IF(R924&lt;&gt;"",IF(Q929="",0,MATCH(TRUE,INDEX(Q929:$Q$1100="",0),0)-1),"")</f>
        <v/>
      </c>
      <c r="V924">
        <f>IF(AND(T924&lt;&gt;"",U924&lt;&gt;""),IF(U924-T924&lt;=0,"Falls Short",U924-T924),"")</f>
        <v/>
      </c>
      <c r="W924">
        <f>IF(AND(R924&lt;&gt;"",V924&lt;&gt;"Falls Short"),20*V924,"")</f>
        <v/>
      </c>
    </row>
    <row r="925">
      <c r="Q925">
        <f>LEFT(I925,9)</f>
        <v/>
      </c>
      <c r="R925">
        <f>TRIM(B925)</f>
        <v/>
      </c>
      <c r="S925">
        <f>COUNTIF($X$1:$X$9,R925) &gt; 0</f>
        <v/>
      </c>
      <c r="T925">
        <f>IF(AND(S925=FALSE,LEN(R925)&gt;2),4,IF(S925=TRUE,INDEX($Y$1:$Y$9,MATCH(R925,$X$1:$X$9,0)),""))</f>
        <v/>
      </c>
      <c r="U925">
        <f>IF(R925&lt;&gt;"",IF(Q930="",0,MATCH(TRUE,INDEX(Q930:$Q$1100="",0),0)-1),"")</f>
        <v/>
      </c>
      <c r="V925">
        <f>IF(AND(T925&lt;&gt;"",U925&lt;&gt;""),IF(U925-T925&lt;=0,"Falls Short",U925-T925),"")</f>
        <v/>
      </c>
      <c r="W925">
        <f>IF(AND(R925&lt;&gt;"",V925&lt;&gt;"Falls Short"),20*V925,"")</f>
        <v/>
      </c>
    </row>
    <row r="926">
      <c r="Q926">
        <f>LEFT(I926,9)</f>
        <v/>
      </c>
      <c r="R926">
        <f>TRIM(B926)</f>
        <v/>
      </c>
      <c r="S926">
        <f>COUNTIF($X$1:$X$9,R926) &gt; 0</f>
        <v/>
      </c>
      <c r="T926">
        <f>IF(AND(S926=FALSE,LEN(R926)&gt;2),4,IF(S926=TRUE,INDEX($Y$1:$Y$9,MATCH(R926,$X$1:$X$9,0)),""))</f>
        <v/>
      </c>
      <c r="U926">
        <f>IF(R926&lt;&gt;"",IF(Q931="",0,MATCH(TRUE,INDEX(Q931:$Q$1100="",0),0)-1),"")</f>
        <v/>
      </c>
      <c r="V926">
        <f>IF(AND(T926&lt;&gt;"",U926&lt;&gt;""),IF(U926-T926&lt;=0,"Falls Short",U926-T926),"")</f>
        <v/>
      </c>
      <c r="W926">
        <f>IF(AND(R926&lt;&gt;"",V926&lt;&gt;"Falls Short"),20*V926,"")</f>
        <v/>
      </c>
    </row>
    <row r="927">
      <c r="Q927">
        <f>LEFT(I927,9)</f>
        <v/>
      </c>
      <c r="R927">
        <f>TRIM(B927)</f>
        <v/>
      </c>
      <c r="S927">
        <f>COUNTIF($X$1:$X$9,R927) &gt; 0</f>
        <v/>
      </c>
      <c r="T927">
        <f>IF(AND(S927=FALSE,LEN(R927)&gt;2),4,IF(S927=TRUE,INDEX($Y$1:$Y$9,MATCH(R927,$X$1:$X$9,0)),""))</f>
        <v/>
      </c>
      <c r="U927">
        <f>IF(R927&lt;&gt;"",IF(Q932="",0,MATCH(TRUE,INDEX(Q932:$Q$1100="",0),0)-1),"")</f>
        <v/>
      </c>
      <c r="V927">
        <f>IF(AND(T927&lt;&gt;"",U927&lt;&gt;""),IF(U927-T927&lt;=0,"Falls Short",U927-T927),"")</f>
        <v/>
      </c>
      <c r="W927">
        <f>IF(AND(R927&lt;&gt;"",V927&lt;&gt;"Falls Short"),20*V927,"")</f>
        <v/>
      </c>
    </row>
    <row r="928">
      <c r="Q928">
        <f>LEFT(I928,9)</f>
        <v/>
      </c>
      <c r="R928">
        <f>TRIM(B928)</f>
        <v/>
      </c>
      <c r="S928">
        <f>COUNTIF($X$1:$X$9,R928) &gt; 0</f>
        <v/>
      </c>
      <c r="T928">
        <f>IF(AND(S928=FALSE,LEN(R928)&gt;2),4,IF(S928=TRUE,INDEX($Y$1:$Y$9,MATCH(R928,$X$1:$X$9,0)),""))</f>
        <v/>
      </c>
      <c r="U928">
        <f>IF(R928&lt;&gt;"",IF(Q933="",0,MATCH(TRUE,INDEX(Q933:$Q$1100="",0),0)-1),"")</f>
        <v/>
      </c>
      <c r="V928">
        <f>IF(AND(T928&lt;&gt;"",U928&lt;&gt;""),IF(U928-T928&lt;=0,"Falls Short",U928-T928),"")</f>
        <v/>
      </c>
      <c r="W928">
        <f>IF(AND(R928&lt;&gt;"",V928&lt;&gt;"Falls Short"),20*V928,"")</f>
        <v/>
      </c>
    </row>
    <row r="929">
      <c r="Q929">
        <f>LEFT(I929,9)</f>
        <v/>
      </c>
      <c r="R929">
        <f>TRIM(B929)</f>
        <v/>
      </c>
      <c r="S929">
        <f>COUNTIF($X$1:$X$9,R929) &gt; 0</f>
        <v/>
      </c>
      <c r="T929">
        <f>IF(AND(S929=FALSE,LEN(R929)&gt;2),4,IF(S929=TRUE,INDEX($Y$1:$Y$9,MATCH(R929,$X$1:$X$9,0)),""))</f>
        <v/>
      </c>
      <c r="U929">
        <f>IF(R929&lt;&gt;"",IF(Q934="",0,MATCH(TRUE,INDEX(Q934:$Q$1100="",0),0)-1),"")</f>
        <v/>
      </c>
      <c r="V929">
        <f>IF(AND(T929&lt;&gt;"",U929&lt;&gt;""),IF(U929-T929&lt;=0,"Falls Short",U929-T929),"")</f>
        <v/>
      </c>
      <c r="W929">
        <f>IF(AND(R929&lt;&gt;"",V929&lt;&gt;"Falls Short"),20*V929,"")</f>
        <v/>
      </c>
    </row>
    <row r="930">
      <c r="Q930">
        <f>LEFT(I930,9)</f>
        <v/>
      </c>
      <c r="R930">
        <f>TRIM(B930)</f>
        <v/>
      </c>
      <c r="S930">
        <f>COUNTIF($X$1:$X$9,R930) &gt; 0</f>
        <v/>
      </c>
      <c r="T930">
        <f>IF(AND(S930=FALSE,LEN(R930)&gt;2),4,IF(S930=TRUE,INDEX($Y$1:$Y$9,MATCH(R930,$X$1:$X$9,0)),""))</f>
        <v/>
      </c>
      <c r="U930">
        <f>IF(R930&lt;&gt;"",IF(Q935="",0,MATCH(TRUE,INDEX(Q935:$Q$1100="",0),0)-1),"")</f>
        <v/>
      </c>
      <c r="V930">
        <f>IF(AND(T930&lt;&gt;"",U930&lt;&gt;""),IF(U930-T930&lt;=0,"Falls Short",U930-T930),"")</f>
        <v/>
      </c>
      <c r="W930">
        <f>IF(AND(R930&lt;&gt;"",V930&lt;&gt;"Falls Short"),20*V930,"")</f>
        <v/>
      </c>
    </row>
    <row r="931">
      <c r="Q931">
        <f>LEFT(I931,9)</f>
        <v/>
      </c>
      <c r="R931">
        <f>TRIM(B931)</f>
        <v/>
      </c>
      <c r="S931">
        <f>COUNTIF($X$1:$X$9,R931) &gt; 0</f>
        <v/>
      </c>
      <c r="T931">
        <f>IF(AND(S931=FALSE,LEN(R931)&gt;2),4,IF(S931=TRUE,INDEX($Y$1:$Y$9,MATCH(R931,$X$1:$X$9,0)),""))</f>
        <v/>
      </c>
      <c r="U931">
        <f>IF(R931&lt;&gt;"",IF(Q936="",0,MATCH(TRUE,INDEX(Q936:$Q$1100="",0),0)-1),"")</f>
        <v/>
      </c>
      <c r="V931">
        <f>IF(AND(T931&lt;&gt;"",U931&lt;&gt;""),IF(U931-T931&lt;=0,"Falls Short",U931-T931),"")</f>
        <v/>
      </c>
      <c r="W931">
        <f>IF(AND(R931&lt;&gt;"",V931&lt;&gt;"Falls Short"),20*V931,"")</f>
        <v/>
      </c>
    </row>
    <row r="932">
      <c r="Q932">
        <f>LEFT(I932,9)</f>
        <v/>
      </c>
      <c r="R932">
        <f>TRIM(B932)</f>
        <v/>
      </c>
      <c r="S932">
        <f>COUNTIF($X$1:$X$9,R932) &gt; 0</f>
        <v/>
      </c>
      <c r="T932">
        <f>IF(AND(S932=FALSE,LEN(R932)&gt;2),4,IF(S932=TRUE,INDEX($Y$1:$Y$9,MATCH(R932,$X$1:$X$9,0)),""))</f>
        <v/>
      </c>
      <c r="U932">
        <f>IF(R932&lt;&gt;"",IF(Q937="",0,MATCH(TRUE,INDEX(Q937:$Q$1100="",0),0)-1),"")</f>
        <v/>
      </c>
      <c r="V932">
        <f>IF(AND(T932&lt;&gt;"",U932&lt;&gt;""),IF(U932-T932&lt;=0,"Falls Short",U932-T932),"")</f>
        <v/>
      </c>
      <c r="W932">
        <f>IF(AND(R932&lt;&gt;"",V932&lt;&gt;"Falls Short"),20*V932,"")</f>
        <v/>
      </c>
    </row>
    <row r="933">
      <c r="Q933">
        <f>LEFT(I933,9)</f>
        <v/>
      </c>
      <c r="R933">
        <f>TRIM(B933)</f>
        <v/>
      </c>
      <c r="S933">
        <f>COUNTIF($X$1:$X$9,R933) &gt; 0</f>
        <v/>
      </c>
      <c r="T933">
        <f>IF(AND(S933=FALSE,LEN(R933)&gt;2),4,IF(S933=TRUE,INDEX($Y$1:$Y$9,MATCH(R933,$X$1:$X$9,0)),""))</f>
        <v/>
      </c>
      <c r="U933">
        <f>IF(R933&lt;&gt;"",IF(Q938="",0,MATCH(TRUE,INDEX(Q938:$Q$1100="",0),0)-1),"")</f>
        <v/>
      </c>
      <c r="V933">
        <f>IF(AND(T933&lt;&gt;"",U933&lt;&gt;""),IF(U933-T933&lt;=0,"Falls Short",U933-T933),"")</f>
        <v/>
      </c>
      <c r="W933">
        <f>IF(AND(R933&lt;&gt;"",V933&lt;&gt;"Falls Short"),20*V933,"")</f>
        <v/>
      </c>
    </row>
    <row r="934">
      <c r="Q934">
        <f>LEFT(I934,9)</f>
        <v/>
      </c>
      <c r="R934">
        <f>TRIM(B934)</f>
        <v/>
      </c>
      <c r="S934">
        <f>COUNTIF($X$1:$X$9,R934) &gt; 0</f>
        <v/>
      </c>
      <c r="T934">
        <f>IF(AND(S934=FALSE,LEN(R934)&gt;2),4,IF(S934=TRUE,INDEX($Y$1:$Y$9,MATCH(R934,$X$1:$X$9,0)),""))</f>
        <v/>
      </c>
      <c r="U934">
        <f>IF(R934&lt;&gt;"",IF(Q939="",0,MATCH(TRUE,INDEX(Q939:$Q$1100="",0),0)-1),"")</f>
        <v/>
      </c>
      <c r="V934">
        <f>IF(AND(T934&lt;&gt;"",U934&lt;&gt;""),IF(U934-T934&lt;=0,"Falls Short",U934-T934),"")</f>
        <v/>
      </c>
      <c r="W934">
        <f>IF(AND(R934&lt;&gt;"",V934&lt;&gt;"Falls Short"),20*V934,"")</f>
        <v/>
      </c>
    </row>
    <row r="935">
      <c r="Q935">
        <f>LEFT(I935,9)</f>
        <v/>
      </c>
      <c r="R935">
        <f>TRIM(B935)</f>
        <v/>
      </c>
      <c r="S935">
        <f>COUNTIF($X$1:$X$9,R935) &gt; 0</f>
        <v/>
      </c>
      <c r="T935">
        <f>IF(AND(S935=FALSE,LEN(R935)&gt;2),4,IF(S935=TRUE,INDEX($Y$1:$Y$9,MATCH(R935,$X$1:$X$9,0)),""))</f>
        <v/>
      </c>
      <c r="U935">
        <f>IF(R935&lt;&gt;"",IF(Q940="",0,MATCH(TRUE,INDEX(Q940:$Q$1100="",0),0)-1),"")</f>
        <v/>
      </c>
      <c r="V935">
        <f>IF(AND(T935&lt;&gt;"",U935&lt;&gt;""),IF(U935-T935&lt;=0,"Falls Short",U935-T935),"")</f>
        <v/>
      </c>
      <c r="W935">
        <f>IF(AND(R935&lt;&gt;"",V935&lt;&gt;"Falls Short"),20*V935,"")</f>
        <v/>
      </c>
    </row>
    <row r="936">
      <c r="Q936">
        <f>LEFT(I936,9)</f>
        <v/>
      </c>
      <c r="R936">
        <f>TRIM(B936)</f>
        <v/>
      </c>
      <c r="S936">
        <f>COUNTIF($X$1:$X$9,R936) &gt; 0</f>
        <v/>
      </c>
      <c r="T936">
        <f>IF(AND(S936=FALSE,LEN(R936)&gt;2),4,IF(S936=TRUE,INDEX($Y$1:$Y$9,MATCH(R936,$X$1:$X$9,0)),""))</f>
        <v/>
      </c>
      <c r="U936">
        <f>IF(R936&lt;&gt;"",IF(Q941="",0,MATCH(TRUE,INDEX(Q941:$Q$1100="",0),0)-1),"")</f>
        <v/>
      </c>
      <c r="V936">
        <f>IF(AND(T936&lt;&gt;"",U936&lt;&gt;""),IF(U936-T936&lt;=0,"Falls Short",U936-T936),"")</f>
        <v/>
      </c>
      <c r="W936">
        <f>IF(AND(R936&lt;&gt;"",V936&lt;&gt;"Falls Short"),20*V936,"")</f>
        <v/>
      </c>
    </row>
    <row r="937">
      <c r="Q937">
        <f>LEFT(I937,9)</f>
        <v/>
      </c>
      <c r="R937">
        <f>TRIM(B937)</f>
        <v/>
      </c>
      <c r="S937">
        <f>COUNTIF($X$1:$X$9,R937) &gt; 0</f>
        <v/>
      </c>
      <c r="T937">
        <f>IF(AND(S937=FALSE,LEN(R937)&gt;2),4,IF(S937=TRUE,INDEX($Y$1:$Y$9,MATCH(R937,$X$1:$X$9,0)),""))</f>
        <v/>
      </c>
      <c r="U937">
        <f>IF(R937&lt;&gt;"",IF(Q942="",0,MATCH(TRUE,INDEX(Q942:$Q$1100="",0),0)-1),"")</f>
        <v/>
      </c>
      <c r="V937">
        <f>IF(AND(T937&lt;&gt;"",U937&lt;&gt;""),IF(U937-T937&lt;=0,"Falls Short",U937-T937),"")</f>
        <v/>
      </c>
      <c r="W937">
        <f>IF(AND(R937&lt;&gt;"",V937&lt;&gt;"Falls Short"),20*V937,"")</f>
        <v/>
      </c>
    </row>
    <row r="938">
      <c r="Q938">
        <f>LEFT(I938,9)</f>
        <v/>
      </c>
      <c r="R938">
        <f>TRIM(B938)</f>
        <v/>
      </c>
      <c r="S938">
        <f>COUNTIF($X$1:$X$9,R938) &gt; 0</f>
        <v/>
      </c>
      <c r="T938">
        <f>IF(AND(S938=FALSE,LEN(R938)&gt;2),4,IF(S938=TRUE,INDEX($Y$1:$Y$9,MATCH(R938,$X$1:$X$9,0)),""))</f>
        <v/>
      </c>
      <c r="U938">
        <f>IF(R938&lt;&gt;"",IF(Q943="",0,MATCH(TRUE,INDEX(Q943:$Q$1100="",0),0)-1),"")</f>
        <v/>
      </c>
      <c r="V938">
        <f>IF(AND(T938&lt;&gt;"",U938&lt;&gt;""),IF(U938-T938&lt;=0,"Falls Short",U938-T938),"")</f>
        <v/>
      </c>
      <c r="W938">
        <f>IF(AND(R938&lt;&gt;"",V938&lt;&gt;"Falls Short"),20*V938,"")</f>
        <v/>
      </c>
    </row>
    <row r="939">
      <c r="Q939">
        <f>LEFT(I939,9)</f>
        <v/>
      </c>
      <c r="R939">
        <f>TRIM(B939)</f>
        <v/>
      </c>
      <c r="S939">
        <f>COUNTIF($X$1:$X$9,R939) &gt; 0</f>
        <v/>
      </c>
      <c r="T939">
        <f>IF(AND(S939=FALSE,LEN(R939)&gt;2),4,IF(S939=TRUE,INDEX($Y$1:$Y$9,MATCH(R939,$X$1:$X$9,0)),""))</f>
        <v/>
      </c>
      <c r="U939">
        <f>IF(R939&lt;&gt;"",IF(Q944="",0,MATCH(TRUE,INDEX(Q944:$Q$1100="",0),0)-1),"")</f>
        <v/>
      </c>
      <c r="V939">
        <f>IF(AND(T939&lt;&gt;"",U939&lt;&gt;""),IF(U939-T939&lt;=0,"Falls Short",U939-T939),"")</f>
        <v/>
      </c>
      <c r="W939">
        <f>IF(AND(R939&lt;&gt;"",V939&lt;&gt;"Falls Short"),20*V939,"")</f>
        <v/>
      </c>
    </row>
    <row r="940">
      <c r="Q940">
        <f>LEFT(I940,9)</f>
        <v/>
      </c>
      <c r="R940">
        <f>TRIM(B940)</f>
        <v/>
      </c>
      <c r="S940">
        <f>COUNTIF($X$1:$X$9,R940) &gt; 0</f>
        <v/>
      </c>
      <c r="T940">
        <f>IF(AND(S940=FALSE,LEN(R940)&gt;2),4,IF(S940=TRUE,INDEX($Y$1:$Y$9,MATCH(R940,$X$1:$X$9,0)),""))</f>
        <v/>
      </c>
      <c r="U940">
        <f>IF(R940&lt;&gt;"",IF(Q945="",0,MATCH(TRUE,INDEX(Q945:$Q$1100="",0),0)-1),"")</f>
        <v/>
      </c>
      <c r="V940">
        <f>IF(AND(T940&lt;&gt;"",U940&lt;&gt;""),IF(U940-T940&lt;=0,"Falls Short",U940-T940),"")</f>
        <v/>
      </c>
      <c r="W940">
        <f>IF(AND(R940&lt;&gt;"",V940&lt;&gt;"Falls Short"),20*V940,"")</f>
        <v/>
      </c>
    </row>
    <row r="941">
      <c r="Q941">
        <f>LEFT(I941,9)</f>
        <v/>
      </c>
      <c r="R941">
        <f>TRIM(B941)</f>
        <v/>
      </c>
      <c r="S941">
        <f>COUNTIF($X$1:$X$9,R941) &gt; 0</f>
        <v/>
      </c>
      <c r="T941">
        <f>IF(AND(S941=FALSE,LEN(R941)&gt;2),4,IF(S941=TRUE,INDEX($Y$1:$Y$9,MATCH(R941,$X$1:$X$9,0)),""))</f>
        <v/>
      </c>
      <c r="U941">
        <f>IF(R941&lt;&gt;"",IF(Q946="",0,MATCH(TRUE,INDEX(Q946:$Q$1100="",0),0)-1),"")</f>
        <v/>
      </c>
      <c r="V941">
        <f>IF(AND(T941&lt;&gt;"",U941&lt;&gt;""),IF(U941-T941&lt;=0,"Falls Short",U941-T941),"")</f>
        <v/>
      </c>
      <c r="W941">
        <f>IF(AND(R941&lt;&gt;"",V941&lt;&gt;"Falls Short"),20*V941,"")</f>
        <v/>
      </c>
    </row>
    <row r="942">
      <c r="Q942">
        <f>LEFT(I942,9)</f>
        <v/>
      </c>
      <c r="R942">
        <f>TRIM(B942)</f>
        <v/>
      </c>
      <c r="S942">
        <f>COUNTIF($X$1:$X$9,R942) &gt; 0</f>
        <v/>
      </c>
      <c r="T942">
        <f>IF(AND(S942=FALSE,LEN(R942)&gt;2),4,IF(S942=TRUE,INDEX($Y$1:$Y$9,MATCH(R942,$X$1:$X$9,0)),""))</f>
        <v/>
      </c>
      <c r="U942">
        <f>IF(R942&lt;&gt;"",IF(Q947="",0,MATCH(TRUE,INDEX(Q947:$Q$1100="",0),0)-1),"")</f>
        <v/>
      </c>
      <c r="V942">
        <f>IF(AND(T942&lt;&gt;"",U942&lt;&gt;""),IF(U942-T942&lt;=0,"Falls Short",U942-T942),"")</f>
        <v/>
      </c>
      <c r="W942">
        <f>IF(AND(R942&lt;&gt;"",V942&lt;&gt;"Falls Short"),20*V942,"")</f>
        <v/>
      </c>
    </row>
    <row r="943">
      <c r="Q943">
        <f>LEFT(I943,9)</f>
        <v/>
      </c>
      <c r="R943">
        <f>TRIM(B943)</f>
        <v/>
      </c>
      <c r="S943">
        <f>COUNTIF($X$1:$X$9,R943) &gt; 0</f>
        <v/>
      </c>
      <c r="T943">
        <f>IF(AND(S943=FALSE,LEN(R943)&gt;2),4,IF(S943=TRUE,INDEX($Y$1:$Y$9,MATCH(R943,$X$1:$X$9,0)),""))</f>
        <v/>
      </c>
      <c r="U943">
        <f>IF(R943&lt;&gt;"",IF(Q948="",0,MATCH(TRUE,INDEX(Q948:$Q$1100="",0),0)-1),"")</f>
        <v/>
      </c>
      <c r="V943">
        <f>IF(AND(T943&lt;&gt;"",U943&lt;&gt;""),IF(U943-T943&lt;=0,"Falls Short",U943-T943),"")</f>
        <v/>
      </c>
      <c r="W943">
        <f>IF(AND(R943&lt;&gt;"",V943&lt;&gt;"Falls Short"),20*V943,"")</f>
        <v/>
      </c>
    </row>
    <row r="944">
      <c r="Q944">
        <f>LEFT(I944,9)</f>
        <v/>
      </c>
      <c r="R944">
        <f>TRIM(B944)</f>
        <v/>
      </c>
      <c r="S944">
        <f>COUNTIF($X$1:$X$9,R944) &gt; 0</f>
        <v/>
      </c>
      <c r="T944">
        <f>IF(AND(S944=FALSE,LEN(R944)&gt;2),4,IF(S944=TRUE,INDEX($Y$1:$Y$9,MATCH(R944,$X$1:$X$9,0)),""))</f>
        <v/>
      </c>
      <c r="U944">
        <f>IF(R944&lt;&gt;"",IF(Q949="",0,MATCH(TRUE,INDEX(Q949:$Q$1100="",0),0)-1),"")</f>
        <v/>
      </c>
      <c r="V944">
        <f>IF(AND(T944&lt;&gt;"",U944&lt;&gt;""),IF(U944-T944&lt;=0,"Falls Short",U944-T944),"")</f>
        <v/>
      </c>
      <c r="W944">
        <f>IF(AND(R944&lt;&gt;"",V944&lt;&gt;"Falls Short"),20*V944,"")</f>
        <v/>
      </c>
    </row>
    <row r="945">
      <c r="Q945">
        <f>LEFT(I945,9)</f>
        <v/>
      </c>
      <c r="R945">
        <f>TRIM(B945)</f>
        <v/>
      </c>
      <c r="S945">
        <f>COUNTIF($X$1:$X$9,R945) &gt; 0</f>
        <v/>
      </c>
      <c r="T945">
        <f>IF(AND(S945=FALSE,LEN(R945)&gt;2),4,IF(S945=TRUE,INDEX($Y$1:$Y$9,MATCH(R945,$X$1:$X$9,0)),""))</f>
        <v/>
      </c>
      <c r="U945">
        <f>IF(R945&lt;&gt;"",IF(Q950="",0,MATCH(TRUE,INDEX(Q950:$Q$1100="",0),0)-1),"")</f>
        <v/>
      </c>
      <c r="V945">
        <f>IF(AND(T945&lt;&gt;"",U945&lt;&gt;""),IF(U945-T945&lt;=0,"Falls Short",U945-T945),"")</f>
        <v/>
      </c>
      <c r="W945">
        <f>IF(AND(R945&lt;&gt;"",V945&lt;&gt;"Falls Short"),20*V945,"")</f>
        <v/>
      </c>
    </row>
    <row r="946">
      <c r="Q946">
        <f>LEFT(I946,9)</f>
        <v/>
      </c>
      <c r="R946">
        <f>TRIM(B946)</f>
        <v/>
      </c>
      <c r="S946">
        <f>COUNTIF($X$1:$X$9,R946) &gt; 0</f>
        <v/>
      </c>
      <c r="T946">
        <f>IF(AND(S946=FALSE,LEN(R946)&gt;2),4,IF(S946=TRUE,INDEX($Y$1:$Y$9,MATCH(R946,$X$1:$X$9,0)),""))</f>
        <v/>
      </c>
      <c r="U946">
        <f>IF(R946&lt;&gt;"",IF(Q951="",0,MATCH(TRUE,INDEX(Q951:$Q$1100="",0),0)-1),"")</f>
        <v/>
      </c>
      <c r="V946">
        <f>IF(AND(T946&lt;&gt;"",U946&lt;&gt;""),IF(U946-T946&lt;=0,"Falls Short",U946-T946),"")</f>
        <v/>
      </c>
      <c r="W946">
        <f>IF(AND(R946&lt;&gt;"",V946&lt;&gt;"Falls Short"),20*V946,"")</f>
        <v/>
      </c>
    </row>
    <row r="947">
      <c r="Q947">
        <f>LEFT(I947,9)</f>
        <v/>
      </c>
      <c r="R947">
        <f>TRIM(B947)</f>
        <v/>
      </c>
      <c r="S947">
        <f>COUNTIF($X$1:$X$9,R947) &gt; 0</f>
        <v/>
      </c>
      <c r="T947">
        <f>IF(AND(S947=FALSE,LEN(R947)&gt;2),4,IF(S947=TRUE,INDEX($Y$1:$Y$9,MATCH(R947,$X$1:$X$9,0)),""))</f>
        <v/>
      </c>
      <c r="U947">
        <f>IF(R947&lt;&gt;"",IF(Q952="",0,MATCH(TRUE,INDEX(Q952:$Q$1100="",0),0)-1),"")</f>
        <v/>
      </c>
      <c r="V947">
        <f>IF(AND(T947&lt;&gt;"",U947&lt;&gt;""),IF(U947-T947&lt;=0,"Falls Short",U947-T947),"")</f>
        <v/>
      </c>
      <c r="W947">
        <f>IF(AND(R947&lt;&gt;"",V947&lt;&gt;"Falls Short"),20*V947,"")</f>
        <v/>
      </c>
    </row>
    <row r="948">
      <c r="Q948">
        <f>LEFT(I948,9)</f>
        <v/>
      </c>
      <c r="R948">
        <f>TRIM(B948)</f>
        <v/>
      </c>
      <c r="S948">
        <f>COUNTIF($X$1:$X$9,R948) &gt; 0</f>
        <v/>
      </c>
      <c r="T948">
        <f>IF(AND(S948=FALSE,LEN(R948)&gt;2),4,IF(S948=TRUE,INDEX($Y$1:$Y$9,MATCH(R948,$X$1:$X$9,0)),""))</f>
        <v/>
      </c>
      <c r="U948">
        <f>IF(R948&lt;&gt;"",IF(Q953="",0,MATCH(TRUE,INDEX(Q953:$Q$1100="",0),0)-1),"")</f>
        <v/>
      </c>
      <c r="V948">
        <f>IF(AND(T948&lt;&gt;"",U948&lt;&gt;""),IF(U948-T948&lt;=0,"Falls Short",U948-T948),"")</f>
        <v/>
      </c>
      <c r="W948">
        <f>IF(AND(R948&lt;&gt;"",V948&lt;&gt;"Falls Short"),20*V948,"")</f>
        <v/>
      </c>
    </row>
    <row r="949">
      <c r="Q949">
        <f>LEFT(I949,9)</f>
        <v/>
      </c>
      <c r="R949">
        <f>TRIM(B949)</f>
        <v/>
      </c>
      <c r="S949">
        <f>COUNTIF($X$1:$X$9,R949) &gt; 0</f>
        <v/>
      </c>
      <c r="T949">
        <f>IF(AND(S949=FALSE,LEN(R949)&gt;2),4,IF(S949=TRUE,INDEX($Y$1:$Y$9,MATCH(R949,$X$1:$X$9,0)),""))</f>
        <v/>
      </c>
      <c r="U949">
        <f>IF(R949&lt;&gt;"",IF(Q954="",0,MATCH(TRUE,INDEX(Q954:$Q$1100="",0),0)-1),"")</f>
        <v/>
      </c>
      <c r="V949">
        <f>IF(AND(T949&lt;&gt;"",U949&lt;&gt;""),IF(U949-T949&lt;=0,"Falls Short",U949-T949),"")</f>
        <v/>
      </c>
      <c r="W949">
        <f>IF(AND(R949&lt;&gt;"",V949&lt;&gt;"Falls Short"),20*V949,"")</f>
        <v/>
      </c>
    </row>
    <row r="950">
      <c r="Q950">
        <f>LEFT(I950,9)</f>
        <v/>
      </c>
      <c r="R950">
        <f>TRIM(B950)</f>
        <v/>
      </c>
      <c r="S950">
        <f>COUNTIF($X$1:$X$9,R950) &gt; 0</f>
        <v/>
      </c>
      <c r="T950">
        <f>IF(AND(S950=FALSE,LEN(R950)&gt;2),4,IF(S950=TRUE,INDEX($Y$1:$Y$9,MATCH(R950,$X$1:$X$9,0)),""))</f>
        <v/>
      </c>
      <c r="U950">
        <f>IF(R950&lt;&gt;"",IF(Q955="",0,MATCH(TRUE,INDEX(Q955:$Q$1100="",0),0)-1),"")</f>
        <v/>
      </c>
      <c r="V950">
        <f>IF(AND(T950&lt;&gt;"",U950&lt;&gt;""),IF(U950-T950&lt;=0,"Falls Short",U950-T950),"")</f>
        <v/>
      </c>
      <c r="W950">
        <f>IF(AND(R950&lt;&gt;"",V950&lt;&gt;"Falls Short"),20*V950,"")</f>
        <v/>
      </c>
    </row>
    <row r="951">
      <c r="Q951">
        <f>LEFT(I951,9)</f>
        <v/>
      </c>
      <c r="R951">
        <f>TRIM(B951)</f>
        <v/>
      </c>
      <c r="S951">
        <f>COUNTIF($X$1:$X$9,R951) &gt; 0</f>
        <v/>
      </c>
      <c r="T951">
        <f>IF(AND(S951=FALSE,LEN(R951)&gt;2),4,IF(S951=TRUE,INDEX($Y$1:$Y$9,MATCH(R951,$X$1:$X$9,0)),""))</f>
        <v/>
      </c>
      <c r="U951">
        <f>IF(R951&lt;&gt;"",IF(Q956="",0,MATCH(TRUE,INDEX(Q956:$Q$1100="",0),0)-1),"")</f>
        <v/>
      </c>
      <c r="V951">
        <f>IF(AND(T951&lt;&gt;"",U951&lt;&gt;""),IF(U951-T951&lt;=0,"Falls Short",U951-T951),"")</f>
        <v/>
      </c>
      <c r="W951">
        <f>IF(AND(R951&lt;&gt;"",V951&lt;&gt;"Falls Short"),20*V951,"")</f>
        <v/>
      </c>
    </row>
    <row r="952">
      <c r="Q952">
        <f>LEFT(I952,9)</f>
        <v/>
      </c>
      <c r="R952">
        <f>TRIM(B952)</f>
        <v/>
      </c>
      <c r="S952">
        <f>COUNTIF($X$1:$X$9,R952) &gt; 0</f>
        <v/>
      </c>
      <c r="T952">
        <f>IF(AND(S952=FALSE,LEN(R952)&gt;2),4,IF(S952=TRUE,INDEX($Y$1:$Y$9,MATCH(R952,$X$1:$X$9,0)),""))</f>
        <v/>
      </c>
      <c r="U952">
        <f>IF(R952&lt;&gt;"",IF(Q957="",0,MATCH(TRUE,INDEX(Q957:$Q$1100="",0),0)-1),"")</f>
        <v/>
      </c>
      <c r="V952">
        <f>IF(AND(T952&lt;&gt;"",U952&lt;&gt;""),IF(U952-T952&lt;=0,"Falls Short",U952-T952),"")</f>
        <v/>
      </c>
      <c r="W952">
        <f>IF(AND(R952&lt;&gt;"",V952&lt;&gt;"Falls Short"),20*V952,"")</f>
        <v/>
      </c>
    </row>
    <row r="953">
      <c r="Q953">
        <f>LEFT(I953,9)</f>
        <v/>
      </c>
      <c r="R953">
        <f>TRIM(B953)</f>
        <v/>
      </c>
      <c r="S953">
        <f>COUNTIF($X$1:$X$9,R953) &gt; 0</f>
        <v/>
      </c>
      <c r="T953">
        <f>IF(AND(S953=FALSE,LEN(R953)&gt;2),4,IF(S953=TRUE,INDEX($Y$1:$Y$9,MATCH(R953,$X$1:$X$9,0)),""))</f>
        <v/>
      </c>
      <c r="U953">
        <f>IF(R953&lt;&gt;"",IF(Q958="",0,MATCH(TRUE,INDEX(Q958:$Q$1100="",0),0)-1),"")</f>
        <v/>
      </c>
      <c r="V953">
        <f>IF(AND(T953&lt;&gt;"",U953&lt;&gt;""),IF(U953-T953&lt;=0,"Falls Short",U953-T953),"")</f>
        <v/>
      </c>
      <c r="W953">
        <f>IF(AND(R953&lt;&gt;"",V953&lt;&gt;"Falls Short"),20*V953,"")</f>
        <v/>
      </c>
    </row>
    <row r="954">
      <c r="Q954">
        <f>LEFT(I954,9)</f>
        <v/>
      </c>
      <c r="R954">
        <f>TRIM(B954)</f>
        <v/>
      </c>
      <c r="S954">
        <f>COUNTIF($X$1:$X$9,R954) &gt; 0</f>
        <v/>
      </c>
      <c r="T954">
        <f>IF(AND(S954=FALSE,LEN(R954)&gt;2),4,IF(S954=TRUE,INDEX($Y$1:$Y$9,MATCH(R954,$X$1:$X$9,0)),""))</f>
        <v/>
      </c>
      <c r="U954">
        <f>IF(R954&lt;&gt;"",IF(Q959="",0,MATCH(TRUE,INDEX(Q959:$Q$1100="",0),0)-1),"")</f>
        <v/>
      </c>
      <c r="V954">
        <f>IF(AND(T954&lt;&gt;"",U954&lt;&gt;""),IF(U954-T954&lt;=0,"Falls Short",U954-T954),"")</f>
        <v/>
      </c>
      <c r="W954">
        <f>IF(AND(R954&lt;&gt;"",V954&lt;&gt;"Falls Short"),20*V954,"")</f>
        <v/>
      </c>
    </row>
    <row r="955">
      <c r="Q955">
        <f>LEFT(I955,9)</f>
        <v/>
      </c>
      <c r="R955">
        <f>TRIM(B955)</f>
        <v/>
      </c>
      <c r="S955">
        <f>COUNTIF($X$1:$X$9,R955) &gt; 0</f>
        <v/>
      </c>
      <c r="T955">
        <f>IF(AND(S955=FALSE,LEN(R955)&gt;2),4,IF(S955=TRUE,INDEX($Y$1:$Y$9,MATCH(R955,$X$1:$X$9,0)),""))</f>
        <v/>
      </c>
      <c r="U955">
        <f>IF(R955&lt;&gt;"",IF(Q960="",0,MATCH(TRUE,INDEX(Q960:$Q$1100="",0),0)-1),"")</f>
        <v/>
      </c>
      <c r="V955">
        <f>IF(AND(T955&lt;&gt;"",U955&lt;&gt;""),IF(U955-T955&lt;=0,"Falls Short",U955-T955),"")</f>
        <v/>
      </c>
      <c r="W955">
        <f>IF(AND(R955&lt;&gt;"",V955&lt;&gt;"Falls Short"),20*V955,"")</f>
        <v/>
      </c>
    </row>
    <row r="956">
      <c r="Q956">
        <f>LEFT(I956,9)</f>
        <v/>
      </c>
      <c r="R956">
        <f>TRIM(B956)</f>
        <v/>
      </c>
      <c r="S956">
        <f>COUNTIF($X$1:$X$9,R956) &gt; 0</f>
        <v/>
      </c>
      <c r="T956">
        <f>IF(AND(S956=FALSE,LEN(R956)&gt;2),4,IF(S956=TRUE,INDEX($Y$1:$Y$9,MATCH(R956,$X$1:$X$9,0)),""))</f>
        <v/>
      </c>
      <c r="U956">
        <f>IF(R956&lt;&gt;"",IF(Q961="",0,MATCH(TRUE,INDEX(Q961:$Q$1100="",0),0)-1),"")</f>
        <v/>
      </c>
      <c r="V956">
        <f>IF(AND(T956&lt;&gt;"",U956&lt;&gt;""),IF(U956-T956&lt;=0,"Falls Short",U956-T956),"")</f>
        <v/>
      </c>
      <c r="W956">
        <f>IF(AND(R956&lt;&gt;"",V956&lt;&gt;"Falls Short"),20*V956,"")</f>
        <v/>
      </c>
    </row>
    <row r="957">
      <c r="Q957">
        <f>LEFT(I957,9)</f>
        <v/>
      </c>
      <c r="R957">
        <f>TRIM(B957)</f>
        <v/>
      </c>
      <c r="S957">
        <f>COUNTIF($X$1:$X$9,R957) &gt; 0</f>
        <v/>
      </c>
      <c r="T957">
        <f>IF(AND(S957=FALSE,LEN(R957)&gt;2),4,IF(S957=TRUE,INDEX($Y$1:$Y$9,MATCH(R957,$X$1:$X$9,0)),""))</f>
        <v/>
      </c>
      <c r="U957">
        <f>IF(R957&lt;&gt;"",IF(Q962="",0,MATCH(TRUE,INDEX(Q962:$Q$1100="",0),0)-1),"")</f>
        <v/>
      </c>
      <c r="V957">
        <f>IF(AND(T957&lt;&gt;"",U957&lt;&gt;""),IF(U957-T957&lt;=0,"Falls Short",U957-T957),"")</f>
        <v/>
      </c>
      <c r="W957">
        <f>IF(AND(R957&lt;&gt;"",V957&lt;&gt;"Falls Short"),20*V957,"")</f>
        <v/>
      </c>
    </row>
    <row r="958">
      <c r="Q958">
        <f>LEFT(I958,9)</f>
        <v/>
      </c>
      <c r="R958">
        <f>TRIM(B958)</f>
        <v/>
      </c>
      <c r="S958">
        <f>COUNTIF($X$1:$X$9,R958) &gt; 0</f>
        <v/>
      </c>
      <c r="T958">
        <f>IF(AND(S958=FALSE,LEN(R958)&gt;2),4,IF(S958=TRUE,INDEX($Y$1:$Y$9,MATCH(R958,$X$1:$X$9,0)),""))</f>
        <v/>
      </c>
      <c r="U958">
        <f>IF(R958&lt;&gt;"",IF(Q963="",0,MATCH(TRUE,INDEX(Q963:$Q$1100="",0),0)-1),"")</f>
        <v/>
      </c>
      <c r="V958">
        <f>IF(AND(T958&lt;&gt;"",U958&lt;&gt;""),IF(U958-T958&lt;=0,"Falls Short",U958-T958),"")</f>
        <v/>
      </c>
      <c r="W958">
        <f>IF(AND(R958&lt;&gt;"",V958&lt;&gt;"Falls Short"),20*V958,"")</f>
        <v/>
      </c>
    </row>
    <row r="959">
      <c r="Q959">
        <f>LEFT(I959,9)</f>
        <v/>
      </c>
      <c r="R959">
        <f>TRIM(B959)</f>
        <v/>
      </c>
      <c r="S959">
        <f>COUNTIF($X$1:$X$9,R959) &gt; 0</f>
        <v/>
      </c>
      <c r="T959">
        <f>IF(AND(S959=FALSE,LEN(R959)&gt;2),4,IF(S959=TRUE,INDEX($Y$1:$Y$9,MATCH(R959,$X$1:$X$9,0)),""))</f>
        <v/>
      </c>
      <c r="U959">
        <f>IF(R959&lt;&gt;"",IF(Q964="",0,MATCH(TRUE,INDEX(Q964:$Q$1100="",0),0)-1),"")</f>
        <v/>
      </c>
      <c r="V959">
        <f>IF(AND(T959&lt;&gt;"",U959&lt;&gt;""),IF(U959-T959&lt;=0,"Falls Short",U959-T959),"")</f>
        <v/>
      </c>
      <c r="W959">
        <f>IF(AND(R959&lt;&gt;"",V959&lt;&gt;"Falls Short"),20*V959,"")</f>
        <v/>
      </c>
    </row>
    <row r="960">
      <c r="Q960">
        <f>LEFT(I960,9)</f>
        <v/>
      </c>
      <c r="R960">
        <f>TRIM(B960)</f>
        <v/>
      </c>
      <c r="S960">
        <f>COUNTIF($X$1:$X$9,R960) &gt; 0</f>
        <v/>
      </c>
      <c r="T960">
        <f>IF(AND(S960=FALSE,LEN(R960)&gt;2),4,IF(S960=TRUE,INDEX($Y$1:$Y$9,MATCH(R960,$X$1:$X$9,0)),""))</f>
        <v/>
      </c>
      <c r="U960">
        <f>IF(R960&lt;&gt;"",IF(Q965="",0,MATCH(TRUE,INDEX(Q965:$Q$1100="",0),0)-1),"")</f>
        <v/>
      </c>
      <c r="V960">
        <f>IF(AND(T960&lt;&gt;"",U960&lt;&gt;""),IF(U960-T960&lt;=0,"Falls Short",U960-T960),"")</f>
        <v/>
      </c>
      <c r="W960">
        <f>IF(AND(R960&lt;&gt;"",V960&lt;&gt;"Falls Short"),20*V960,"")</f>
        <v/>
      </c>
    </row>
    <row r="961">
      <c r="Q961">
        <f>LEFT(I961,9)</f>
        <v/>
      </c>
      <c r="R961">
        <f>TRIM(B961)</f>
        <v/>
      </c>
      <c r="S961">
        <f>COUNTIF($X$1:$X$9,R961) &gt; 0</f>
        <v/>
      </c>
      <c r="T961">
        <f>IF(AND(S961=FALSE,LEN(R961)&gt;2),4,IF(S961=TRUE,INDEX($Y$1:$Y$9,MATCH(R961,$X$1:$X$9,0)),""))</f>
        <v/>
      </c>
      <c r="U961">
        <f>IF(R961&lt;&gt;"",IF(Q966="",0,MATCH(TRUE,INDEX(Q966:$Q$1100="",0),0)-1),"")</f>
        <v/>
      </c>
      <c r="V961">
        <f>IF(AND(T961&lt;&gt;"",U961&lt;&gt;""),IF(U961-T961&lt;=0,"Falls Short",U961-T961),"")</f>
        <v/>
      </c>
      <c r="W961">
        <f>IF(AND(R961&lt;&gt;"",V961&lt;&gt;"Falls Short"),20*V961,"")</f>
        <v/>
      </c>
    </row>
    <row r="962">
      <c r="Q962">
        <f>LEFT(I962,9)</f>
        <v/>
      </c>
      <c r="R962">
        <f>TRIM(B962)</f>
        <v/>
      </c>
      <c r="S962">
        <f>COUNTIF($X$1:$X$9,R962) &gt; 0</f>
        <v/>
      </c>
      <c r="T962">
        <f>IF(AND(S962=FALSE,LEN(R962)&gt;2),4,IF(S962=TRUE,INDEX($Y$1:$Y$9,MATCH(R962,$X$1:$X$9,0)),""))</f>
        <v/>
      </c>
      <c r="U962">
        <f>IF(R962&lt;&gt;"",IF(Q967="",0,MATCH(TRUE,INDEX(Q967:$Q$1100="",0),0)-1),"")</f>
        <v/>
      </c>
      <c r="V962">
        <f>IF(AND(T962&lt;&gt;"",U962&lt;&gt;""),IF(U962-T962&lt;=0,"Falls Short",U962-T962),"")</f>
        <v/>
      </c>
      <c r="W962">
        <f>IF(AND(R962&lt;&gt;"",V962&lt;&gt;"Falls Short"),20*V962,"")</f>
        <v/>
      </c>
    </row>
    <row r="963">
      <c r="Q963">
        <f>LEFT(I963,9)</f>
        <v/>
      </c>
      <c r="R963">
        <f>TRIM(B963)</f>
        <v/>
      </c>
      <c r="S963">
        <f>COUNTIF($X$1:$X$9,R963) &gt; 0</f>
        <v/>
      </c>
      <c r="T963">
        <f>IF(AND(S963=FALSE,LEN(R963)&gt;2),4,IF(S963=TRUE,INDEX($Y$1:$Y$9,MATCH(R963,$X$1:$X$9,0)),""))</f>
        <v/>
      </c>
      <c r="U963">
        <f>IF(R963&lt;&gt;"",IF(Q968="",0,MATCH(TRUE,INDEX(Q968:$Q$1100="",0),0)-1),"")</f>
        <v/>
      </c>
      <c r="V963">
        <f>IF(AND(T963&lt;&gt;"",U963&lt;&gt;""),IF(U963-T963&lt;=0,"Falls Short",U963-T963),"")</f>
        <v/>
      </c>
      <c r="W963">
        <f>IF(AND(R963&lt;&gt;"",V963&lt;&gt;"Falls Short"),20*V963,"")</f>
        <v/>
      </c>
    </row>
    <row r="964">
      <c r="Q964">
        <f>LEFT(I964,9)</f>
        <v/>
      </c>
      <c r="R964">
        <f>TRIM(B964)</f>
        <v/>
      </c>
      <c r="S964">
        <f>COUNTIF($X$1:$X$9,R964) &gt; 0</f>
        <v/>
      </c>
      <c r="T964">
        <f>IF(AND(S964=FALSE,LEN(R964)&gt;2),4,IF(S964=TRUE,INDEX($Y$1:$Y$9,MATCH(R964,$X$1:$X$9,0)),""))</f>
        <v/>
      </c>
      <c r="U964">
        <f>IF(R964&lt;&gt;"",IF(Q969="",0,MATCH(TRUE,INDEX(Q969:$Q$1100="",0),0)-1),"")</f>
        <v/>
      </c>
      <c r="V964">
        <f>IF(AND(T964&lt;&gt;"",U964&lt;&gt;""),IF(U964-T964&lt;=0,"Falls Short",U964-T964),"")</f>
        <v/>
      </c>
      <c r="W964">
        <f>IF(AND(R964&lt;&gt;"",V964&lt;&gt;"Falls Short"),20*V964,"")</f>
        <v/>
      </c>
    </row>
    <row r="965">
      <c r="Q965">
        <f>LEFT(I965,9)</f>
        <v/>
      </c>
      <c r="R965">
        <f>TRIM(B965)</f>
        <v/>
      </c>
      <c r="S965">
        <f>COUNTIF($X$1:$X$9,R965) &gt; 0</f>
        <v/>
      </c>
      <c r="T965">
        <f>IF(AND(S965=FALSE,LEN(R965)&gt;2),4,IF(S965=TRUE,INDEX($Y$1:$Y$9,MATCH(R965,$X$1:$X$9,0)),""))</f>
        <v/>
      </c>
      <c r="U965">
        <f>IF(R965&lt;&gt;"",IF(Q970="",0,MATCH(TRUE,INDEX(Q970:$Q$1100="",0),0)-1),"")</f>
        <v/>
      </c>
      <c r="V965">
        <f>IF(AND(T965&lt;&gt;"",U965&lt;&gt;""),IF(U965-T965&lt;=0,"Falls Short",U965-T965),"")</f>
        <v/>
      </c>
      <c r="W965">
        <f>IF(AND(R965&lt;&gt;"",V965&lt;&gt;"Falls Short"),20*V965,"")</f>
        <v/>
      </c>
    </row>
    <row r="966">
      <c r="Q966">
        <f>LEFT(I966,9)</f>
        <v/>
      </c>
      <c r="R966">
        <f>TRIM(B966)</f>
        <v/>
      </c>
      <c r="S966">
        <f>COUNTIF($X$1:$X$9,R966) &gt; 0</f>
        <v/>
      </c>
      <c r="T966">
        <f>IF(AND(S966=FALSE,LEN(R966)&gt;2),4,IF(S966=TRUE,INDEX($Y$1:$Y$9,MATCH(R966,$X$1:$X$9,0)),""))</f>
        <v/>
      </c>
      <c r="U966">
        <f>IF(R966&lt;&gt;"",IF(Q971="",0,MATCH(TRUE,INDEX(Q971:$Q$1100="",0),0)-1),"")</f>
        <v/>
      </c>
      <c r="V966">
        <f>IF(AND(T966&lt;&gt;"",U966&lt;&gt;""),IF(U966-T966&lt;=0,"Falls Short",U966-T966),"")</f>
        <v/>
      </c>
      <c r="W966">
        <f>IF(AND(R966&lt;&gt;"",V966&lt;&gt;"Falls Short"),20*V966,"")</f>
        <v/>
      </c>
    </row>
    <row r="967">
      <c r="Q967">
        <f>LEFT(I967,9)</f>
        <v/>
      </c>
      <c r="R967">
        <f>TRIM(B967)</f>
        <v/>
      </c>
      <c r="S967">
        <f>COUNTIF($X$1:$X$9,R967) &gt; 0</f>
        <v/>
      </c>
      <c r="T967">
        <f>IF(AND(S967=FALSE,LEN(R967)&gt;2),4,IF(S967=TRUE,INDEX($Y$1:$Y$9,MATCH(R967,$X$1:$X$9,0)),""))</f>
        <v/>
      </c>
      <c r="U967">
        <f>IF(R967&lt;&gt;"",IF(Q972="",0,MATCH(TRUE,INDEX(Q972:$Q$1100="",0),0)-1),"")</f>
        <v/>
      </c>
      <c r="V967">
        <f>IF(AND(T967&lt;&gt;"",U967&lt;&gt;""),IF(U967-T967&lt;=0,"Falls Short",U967-T967),"")</f>
        <v/>
      </c>
      <c r="W967">
        <f>IF(AND(R967&lt;&gt;"",V967&lt;&gt;"Falls Short"),20*V967,"")</f>
        <v/>
      </c>
    </row>
    <row r="968">
      <c r="Q968">
        <f>LEFT(I968,9)</f>
        <v/>
      </c>
      <c r="R968">
        <f>TRIM(B968)</f>
        <v/>
      </c>
      <c r="S968">
        <f>COUNTIF($X$1:$X$9,R968) &gt; 0</f>
        <v/>
      </c>
      <c r="T968">
        <f>IF(AND(S968=FALSE,LEN(R968)&gt;2),4,IF(S968=TRUE,INDEX($Y$1:$Y$9,MATCH(R968,$X$1:$X$9,0)),""))</f>
        <v/>
      </c>
      <c r="U968">
        <f>IF(R968&lt;&gt;"",IF(Q973="",0,MATCH(TRUE,INDEX(Q973:$Q$1100="",0),0)-1),"")</f>
        <v/>
      </c>
      <c r="V968">
        <f>IF(AND(T968&lt;&gt;"",U968&lt;&gt;""),IF(U968-T968&lt;=0,"Falls Short",U968-T968),"")</f>
        <v/>
      </c>
      <c r="W968">
        <f>IF(AND(R968&lt;&gt;"",V968&lt;&gt;"Falls Short"),20*V968,"")</f>
        <v/>
      </c>
    </row>
    <row r="969">
      <c r="Q969">
        <f>LEFT(I969,9)</f>
        <v/>
      </c>
      <c r="R969">
        <f>TRIM(B969)</f>
        <v/>
      </c>
      <c r="S969">
        <f>COUNTIF($X$1:$X$9,R969) &gt; 0</f>
        <v/>
      </c>
      <c r="T969">
        <f>IF(AND(S969=FALSE,LEN(R969)&gt;2),4,IF(S969=TRUE,INDEX($Y$1:$Y$9,MATCH(R969,$X$1:$X$9,0)),""))</f>
        <v/>
      </c>
      <c r="U969">
        <f>IF(R969&lt;&gt;"",IF(Q974="",0,MATCH(TRUE,INDEX(Q974:$Q$1100="",0),0)-1),"")</f>
        <v/>
      </c>
      <c r="V969">
        <f>IF(AND(T969&lt;&gt;"",U969&lt;&gt;""),IF(U969-T969&lt;=0,"Falls Short",U969-T969),"")</f>
        <v/>
      </c>
      <c r="W969">
        <f>IF(AND(R969&lt;&gt;"",V969&lt;&gt;"Falls Short"),20*V969,"")</f>
        <v/>
      </c>
    </row>
    <row r="970">
      <c r="Q970">
        <f>LEFT(I970,9)</f>
        <v/>
      </c>
      <c r="R970">
        <f>TRIM(B970)</f>
        <v/>
      </c>
      <c r="S970">
        <f>COUNTIF($X$1:$X$9,R970) &gt; 0</f>
        <v/>
      </c>
      <c r="T970">
        <f>IF(AND(S970=FALSE,LEN(R970)&gt;2),4,IF(S970=TRUE,INDEX($Y$1:$Y$9,MATCH(R970,$X$1:$X$9,0)),""))</f>
        <v/>
      </c>
      <c r="U970">
        <f>IF(R970&lt;&gt;"",IF(Q975="",0,MATCH(TRUE,INDEX(Q975:$Q$1100="",0),0)-1),"")</f>
        <v/>
      </c>
      <c r="V970">
        <f>IF(AND(T970&lt;&gt;"",U970&lt;&gt;""),IF(U970-T970&lt;=0,"Falls Short",U970-T970),"")</f>
        <v/>
      </c>
      <c r="W970">
        <f>IF(AND(R970&lt;&gt;"",V970&lt;&gt;"Falls Short"),20*V970,"")</f>
        <v/>
      </c>
    </row>
    <row r="971">
      <c r="Q971">
        <f>LEFT(I971,9)</f>
        <v/>
      </c>
      <c r="R971">
        <f>TRIM(B971)</f>
        <v/>
      </c>
      <c r="S971">
        <f>COUNTIF($X$1:$X$9,R971) &gt; 0</f>
        <v/>
      </c>
      <c r="T971">
        <f>IF(AND(S971=FALSE,LEN(R971)&gt;2),4,IF(S971=TRUE,INDEX($Y$1:$Y$9,MATCH(R971,$X$1:$X$9,0)),""))</f>
        <v/>
      </c>
      <c r="U971">
        <f>IF(R971&lt;&gt;"",IF(Q976="",0,MATCH(TRUE,INDEX(Q976:$Q$1100="",0),0)-1),"")</f>
        <v/>
      </c>
      <c r="V971">
        <f>IF(AND(T971&lt;&gt;"",U971&lt;&gt;""),IF(U971-T971&lt;=0,"Falls Short",U971-T971),"")</f>
        <v/>
      </c>
      <c r="W971">
        <f>IF(AND(R971&lt;&gt;"",V971&lt;&gt;"Falls Short"),20*V971,"")</f>
        <v/>
      </c>
    </row>
    <row r="972">
      <c r="Q972">
        <f>LEFT(I972,9)</f>
        <v/>
      </c>
      <c r="R972">
        <f>TRIM(B972)</f>
        <v/>
      </c>
      <c r="S972">
        <f>COUNTIF($X$1:$X$9,R972) &gt; 0</f>
        <v/>
      </c>
      <c r="T972">
        <f>IF(AND(S972=FALSE,LEN(R972)&gt;2),4,IF(S972=TRUE,INDEX($Y$1:$Y$9,MATCH(R972,$X$1:$X$9,0)),""))</f>
        <v/>
      </c>
      <c r="U972">
        <f>IF(R972&lt;&gt;"",IF(Q977="",0,MATCH(TRUE,INDEX(Q977:$Q$1100="",0),0)-1),"")</f>
        <v/>
      </c>
      <c r="V972">
        <f>IF(AND(T972&lt;&gt;"",U972&lt;&gt;""),IF(U972-T972&lt;=0,"Falls Short",U972-T972),"")</f>
        <v/>
      </c>
      <c r="W972">
        <f>IF(AND(R972&lt;&gt;"",V972&lt;&gt;"Falls Short"),20*V972,"")</f>
        <v/>
      </c>
    </row>
    <row r="973">
      <c r="Q973">
        <f>LEFT(I973,9)</f>
        <v/>
      </c>
      <c r="R973">
        <f>TRIM(B973)</f>
        <v/>
      </c>
      <c r="S973">
        <f>COUNTIF($X$1:$X$9,R973) &gt; 0</f>
        <v/>
      </c>
      <c r="T973">
        <f>IF(AND(S973=FALSE,LEN(R973)&gt;2),4,IF(S973=TRUE,INDEX($Y$1:$Y$9,MATCH(R973,$X$1:$X$9,0)),""))</f>
        <v/>
      </c>
      <c r="U973">
        <f>IF(R973&lt;&gt;"",IF(Q978="",0,MATCH(TRUE,INDEX(Q978:$Q$1100="",0),0)-1),"")</f>
        <v/>
      </c>
      <c r="V973">
        <f>IF(AND(T973&lt;&gt;"",U973&lt;&gt;""),IF(U973-T973&lt;=0,"Falls Short",U973-T973),"")</f>
        <v/>
      </c>
      <c r="W973">
        <f>IF(AND(R973&lt;&gt;"",V973&lt;&gt;"Falls Short"),20*V973,"")</f>
        <v/>
      </c>
    </row>
    <row r="974">
      <c r="Q974">
        <f>LEFT(I974,9)</f>
        <v/>
      </c>
      <c r="R974">
        <f>TRIM(B974)</f>
        <v/>
      </c>
      <c r="S974">
        <f>COUNTIF($X$1:$X$9,R974) &gt; 0</f>
        <v/>
      </c>
      <c r="T974">
        <f>IF(AND(S974=FALSE,LEN(R974)&gt;2),4,IF(S974=TRUE,INDEX($Y$1:$Y$9,MATCH(R974,$X$1:$X$9,0)),""))</f>
        <v/>
      </c>
      <c r="U974">
        <f>IF(R974&lt;&gt;"",IF(Q979="",0,MATCH(TRUE,INDEX(Q979:$Q$1100="",0),0)-1),"")</f>
        <v/>
      </c>
      <c r="V974">
        <f>IF(AND(T974&lt;&gt;"",U974&lt;&gt;""),IF(U974-T974&lt;=0,"Falls Short",U974-T974),"")</f>
        <v/>
      </c>
      <c r="W974">
        <f>IF(AND(R974&lt;&gt;"",V974&lt;&gt;"Falls Short"),20*V974,"")</f>
        <v/>
      </c>
    </row>
    <row r="975">
      <c r="Q975">
        <f>LEFT(I975,9)</f>
        <v/>
      </c>
      <c r="R975">
        <f>TRIM(B975)</f>
        <v/>
      </c>
      <c r="S975">
        <f>COUNTIF($X$1:$X$9,R975) &gt; 0</f>
        <v/>
      </c>
      <c r="T975">
        <f>IF(AND(S975=FALSE,LEN(R975)&gt;2),4,IF(S975=TRUE,INDEX($Y$1:$Y$9,MATCH(R975,$X$1:$X$9,0)),""))</f>
        <v/>
      </c>
      <c r="U975">
        <f>IF(R975&lt;&gt;"",IF(Q980="",0,MATCH(TRUE,INDEX(Q980:$Q$1100="",0),0)-1),"")</f>
        <v/>
      </c>
      <c r="V975">
        <f>IF(AND(T975&lt;&gt;"",U975&lt;&gt;""),IF(U975-T975&lt;=0,"Falls Short",U975-T975),"")</f>
        <v/>
      </c>
      <c r="W975">
        <f>IF(AND(R975&lt;&gt;"",V975&lt;&gt;"Falls Short"),20*V975,"")</f>
        <v/>
      </c>
    </row>
    <row r="976">
      <c r="Q976">
        <f>LEFT(I976,9)</f>
        <v/>
      </c>
      <c r="R976">
        <f>TRIM(B976)</f>
        <v/>
      </c>
      <c r="S976">
        <f>COUNTIF($X$1:$X$9,R976) &gt; 0</f>
        <v/>
      </c>
      <c r="T976">
        <f>IF(AND(S976=FALSE,LEN(R976)&gt;2),4,IF(S976=TRUE,INDEX($Y$1:$Y$9,MATCH(R976,$X$1:$X$9,0)),""))</f>
        <v/>
      </c>
      <c r="U976">
        <f>IF(R976&lt;&gt;"",IF(Q981="",0,MATCH(TRUE,INDEX(Q981:$Q$1100="",0),0)-1),"")</f>
        <v/>
      </c>
      <c r="V976">
        <f>IF(AND(T976&lt;&gt;"",U976&lt;&gt;""),IF(U976-T976&lt;=0,"Falls Short",U976-T976),"")</f>
        <v/>
      </c>
      <c r="W976">
        <f>IF(AND(R976&lt;&gt;"",V976&lt;&gt;"Falls Short"),20*V976,"")</f>
        <v/>
      </c>
    </row>
    <row r="977">
      <c r="Q977">
        <f>LEFT(I977,9)</f>
        <v/>
      </c>
      <c r="R977">
        <f>TRIM(B977)</f>
        <v/>
      </c>
      <c r="S977">
        <f>COUNTIF($X$1:$X$9,R977) &gt; 0</f>
        <v/>
      </c>
      <c r="T977">
        <f>IF(AND(S977=FALSE,LEN(R977)&gt;2),4,IF(S977=TRUE,INDEX($Y$1:$Y$9,MATCH(R977,$X$1:$X$9,0)),""))</f>
        <v/>
      </c>
      <c r="U977">
        <f>IF(R977&lt;&gt;"",IF(Q982="",0,MATCH(TRUE,INDEX(Q982:$Q$1100="",0),0)-1),"")</f>
        <v/>
      </c>
      <c r="V977">
        <f>IF(AND(T977&lt;&gt;"",U977&lt;&gt;""),IF(U977-T977&lt;=0,"Falls Short",U977-T977),"")</f>
        <v/>
      </c>
      <c r="W977">
        <f>IF(AND(R977&lt;&gt;"",V977&lt;&gt;"Falls Short"),20*V977,"")</f>
        <v/>
      </c>
    </row>
    <row r="978">
      <c r="Q978">
        <f>LEFT(I978,9)</f>
        <v/>
      </c>
      <c r="R978">
        <f>TRIM(B978)</f>
        <v/>
      </c>
      <c r="S978">
        <f>COUNTIF($X$1:$X$9,R978) &gt; 0</f>
        <v/>
      </c>
      <c r="T978">
        <f>IF(AND(S978=FALSE,LEN(R978)&gt;2),4,IF(S978=TRUE,INDEX($Y$1:$Y$9,MATCH(R978,$X$1:$X$9,0)),""))</f>
        <v/>
      </c>
      <c r="U978">
        <f>IF(R978&lt;&gt;"",IF(Q983="",0,MATCH(TRUE,INDEX(Q983:$Q$1100="",0),0)-1),"")</f>
        <v/>
      </c>
      <c r="V978">
        <f>IF(AND(T978&lt;&gt;"",U978&lt;&gt;""),IF(U978-T978&lt;=0,"Falls Short",U978-T978),"")</f>
        <v/>
      </c>
      <c r="W978">
        <f>IF(AND(R978&lt;&gt;"",V978&lt;&gt;"Falls Short"),20*V978,"")</f>
        <v/>
      </c>
    </row>
    <row r="979">
      <c r="Q979">
        <f>LEFT(I979,9)</f>
        <v/>
      </c>
      <c r="R979">
        <f>TRIM(B979)</f>
        <v/>
      </c>
      <c r="S979">
        <f>COUNTIF($X$1:$X$9,R979) &gt; 0</f>
        <v/>
      </c>
      <c r="T979">
        <f>IF(AND(S979=FALSE,LEN(R979)&gt;2),4,IF(S979=TRUE,INDEX($Y$1:$Y$9,MATCH(R979,$X$1:$X$9,0)),""))</f>
        <v/>
      </c>
      <c r="U979">
        <f>IF(R979&lt;&gt;"",IF(Q984="",0,MATCH(TRUE,INDEX(Q984:$Q$1100="",0),0)-1),"")</f>
        <v/>
      </c>
      <c r="V979">
        <f>IF(AND(T979&lt;&gt;"",U979&lt;&gt;""),IF(U979-T979&lt;=0,"Falls Short",U979-T979),"")</f>
        <v/>
      </c>
      <c r="W979">
        <f>IF(AND(R979&lt;&gt;"",V979&lt;&gt;"Falls Short"),20*V979,"")</f>
        <v/>
      </c>
    </row>
    <row r="980">
      <c r="Q980">
        <f>LEFT(I980,9)</f>
        <v/>
      </c>
      <c r="R980">
        <f>TRIM(B980)</f>
        <v/>
      </c>
      <c r="S980">
        <f>COUNTIF($X$1:$X$9,R980) &gt; 0</f>
        <v/>
      </c>
      <c r="T980">
        <f>IF(AND(S980=FALSE,LEN(R980)&gt;2),4,IF(S980=TRUE,INDEX($Y$1:$Y$9,MATCH(R980,$X$1:$X$9,0)),""))</f>
        <v/>
      </c>
      <c r="U980">
        <f>IF(R980&lt;&gt;"",IF(Q985="",0,MATCH(TRUE,INDEX(Q985:$Q$1100="",0),0)-1),"")</f>
        <v/>
      </c>
      <c r="V980">
        <f>IF(AND(T980&lt;&gt;"",U980&lt;&gt;""),IF(U980-T980&lt;=0,"Falls Short",U980-T980),"")</f>
        <v/>
      </c>
      <c r="W980">
        <f>IF(AND(R980&lt;&gt;"",V980&lt;&gt;"Falls Short"),20*V980,"")</f>
        <v/>
      </c>
    </row>
    <row r="981">
      <c r="Q981">
        <f>LEFT(I981,9)</f>
        <v/>
      </c>
      <c r="R981">
        <f>TRIM(B981)</f>
        <v/>
      </c>
      <c r="S981">
        <f>COUNTIF($X$1:$X$9,R981) &gt; 0</f>
        <v/>
      </c>
      <c r="T981">
        <f>IF(AND(S981=FALSE,LEN(R981)&gt;2),4,IF(S981=TRUE,INDEX($Y$1:$Y$9,MATCH(R981,$X$1:$X$9,0)),""))</f>
        <v/>
      </c>
      <c r="U981">
        <f>IF(R981&lt;&gt;"",IF(Q986="",0,MATCH(TRUE,INDEX(Q986:$Q$1100="",0),0)-1),"")</f>
        <v/>
      </c>
      <c r="V981">
        <f>IF(AND(T981&lt;&gt;"",U981&lt;&gt;""),IF(U981-T981&lt;=0,"Falls Short",U981-T981),"")</f>
        <v/>
      </c>
      <c r="W981">
        <f>IF(AND(R981&lt;&gt;"",V981&lt;&gt;"Falls Short"),20*V981,"")</f>
        <v/>
      </c>
    </row>
    <row r="982">
      <c r="Q982">
        <f>LEFT(I982,9)</f>
        <v/>
      </c>
      <c r="R982">
        <f>TRIM(B982)</f>
        <v/>
      </c>
      <c r="S982">
        <f>COUNTIF($X$1:$X$9,R982) &gt; 0</f>
        <v/>
      </c>
      <c r="T982">
        <f>IF(AND(S982=FALSE,LEN(R982)&gt;2),4,IF(S982=TRUE,INDEX($Y$1:$Y$9,MATCH(R982,$X$1:$X$9,0)),""))</f>
        <v/>
      </c>
      <c r="U982">
        <f>IF(R982&lt;&gt;"",IF(Q987="",0,MATCH(TRUE,INDEX(Q987:$Q$1100="",0),0)-1),"")</f>
        <v/>
      </c>
      <c r="V982">
        <f>IF(AND(T982&lt;&gt;"",U982&lt;&gt;""),IF(U982-T982&lt;=0,"Falls Short",U982-T982),"")</f>
        <v/>
      </c>
      <c r="W982">
        <f>IF(AND(R982&lt;&gt;"",V982&lt;&gt;"Falls Short"),20*V982,"")</f>
        <v/>
      </c>
    </row>
    <row r="983">
      <c r="Q983">
        <f>LEFT(I983,9)</f>
        <v/>
      </c>
      <c r="R983">
        <f>TRIM(B983)</f>
        <v/>
      </c>
      <c r="S983">
        <f>COUNTIF($X$1:$X$9,R983) &gt; 0</f>
        <v/>
      </c>
      <c r="T983">
        <f>IF(AND(S983=FALSE,LEN(R983)&gt;2),4,IF(S983=TRUE,INDEX($Y$1:$Y$9,MATCH(R983,$X$1:$X$9,0)),""))</f>
        <v/>
      </c>
      <c r="U983">
        <f>IF(R983&lt;&gt;"",IF(Q988="",0,MATCH(TRUE,INDEX(Q988:$Q$1100="",0),0)-1),"")</f>
        <v/>
      </c>
      <c r="V983">
        <f>IF(AND(T983&lt;&gt;"",U983&lt;&gt;""),IF(U983-T983&lt;=0,"Falls Short",U983-T983),"")</f>
        <v/>
      </c>
      <c r="W983">
        <f>IF(AND(R983&lt;&gt;"",V983&lt;&gt;"Falls Short"),20*V983,"")</f>
        <v/>
      </c>
    </row>
    <row r="984">
      <c r="Q984">
        <f>LEFT(I984,9)</f>
        <v/>
      </c>
      <c r="R984">
        <f>TRIM(B984)</f>
        <v/>
      </c>
      <c r="S984">
        <f>COUNTIF($X$1:$X$9,R984) &gt; 0</f>
        <v/>
      </c>
      <c r="T984">
        <f>IF(AND(S984=FALSE,LEN(R984)&gt;2),4,IF(S984=TRUE,INDEX($Y$1:$Y$9,MATCH(R984,$X$1:$X$9,0)),""))</f>
        <v/>
      </c>
      <c r="U984">
        <f>IF(R984&lt;&gt;"",IF(Q989="",0,MATCH(TRUE,INDEX(Q989:$Q$1100="",0),0)-1),"")</f>
        <v/>
      </c>
      <c r="V984">
        <f>IF(AND(T984&lt;&gt;"",U984&lt;&gt;""),IF(U984-T984&lt;=0,"Falls Short",U984-T984),"")</f>
        <v/>
      </c>
      <c r="W984">
        <f>IF(AND(R984&lt;&gt;"",V984&lt;&gt;"Falls Short"),20*V984,"")</f>
        <v/>
      </c>
    </row>
    <row r="985">
      <c r="Q985">
        <f>LEFT(I985,9)</f>
        <v/>
      </c>
      <c r="R985">
        <f>TRIM(B985)</f>
        <v/>
      </c>
      <c r="S985">
        <f>COUNTIF($X$1:$X$9,R985) &gt; 0</f>
        <v/>
      </c>
      <c r="T985">
        <f>IF(AND(S985=FALSE,LEN(R985)&gt;2),4,IF(S985=TRUE,INDEX($Y$1:$Y$9,MATCH(R985,$X$1:$X$9,0)),""))</f>
        <v/>
      </c>
      <c r="U985">
        <f>IF(R985&lt;&gt;"",IF(Q990="",0,MATCH(TRUE,INDEX(Q990:$Q$1100="",0),0)-1),"")</f>
        <v/>
      </c>
      <c r="V985">
        <f>IF(AND(T985&lt;&gt;"",U985&lt;&gt;""),IF(U985-T985&lt;=0,"Falls Short",U985-T985),"")</f>
        <v/>
      </c>
      <c r="W985">
        <f>IF(AND(R985&lt;&gt;"",V985&lt;&gt;"Falls Short"),20*V985,"")</f>
        <v/>
      </c>
    </row>
    <row r="986">
      <c r="Q986">
        <f>LEFT(I986,9)</f>
        <v/>
      </c>
      <c r="R986">
        <f>TRIM(B986)</f>
        <v/>
      </c>
      <c r="S986">
        <f>COUNTIF($X$1:$X$9,R986) &gt; 0</f>
        <v/>
      </c>
      <c r="T986">
        <f>IF(AND(S986=FALSE,LEN(R986)&gt;2),4,IF(S986=TRUE,INDEX($Y$1:$Y$9,MATCH(R986,$X$1:$X$9,0)),""))</f>
        <v/>
      </c>
      <c r="U986">
        <f>IF(R986&lt;&gt;"",IF(Q991="",0,MATCH(TRUE,INDEX(Q991:$Q$1100="",0),0)-1),"")</f>
        <v/>
      </c>
      <c r="V986">
        <f>IF(AND(T986&lt;&gt;"",U986&lt;&gt;""),IF(U986-T986&lt;=0,"Falls Short",U986-T986),"")</f>
        <v/>
      </c>
      <c r="W986">
        <f>IF(AND(R986&lt;&gt;"",V986&lt;&gt;"Falls Short"),20*V986,"")</f>
        <v/>
      </c>
    </row>
    <row r="987">
      <c r="Q987">
        <f>LEFT(I987,9)</f>
        <v/>
      </c>
      <c r="R987">
        <f>TRIM(B987)</f>
        <v/>
      </c>
      <c r="S987">
        <f>COUNTIF($X$1:$X$9,R987) &gt; 0</f>
        <v/>
      </c>
      <c r="T987">
        <f>IF(AND(S987=FALSE,LEN(R987)&gt;2),4,IF(S987=TRUE,INDEX($Y$1:$Y$9,MATCH(R987,$X$1:$X$9,0)),""))</f>
        <v/>
      </c>
      <c r="U987">
        <f>IF(R987&lt;&gt;"",IF(Q992="",0,MATCH(TRUE,INDEX(Q992:$Q$1100="",0),0)-1),"")</f>
        <v/>
      </c>
      <c r="V987">
        <f>IF(AND(T987&lt;&gt;"",U987&lt;&gt;""),IF(U987-T987&lt;=0,"Falls Short",U987-T987),"")</f>
        <v/>
      </c>
      <c r="W987">
        <f>IF(AND(R987&lt;&gt;"",V987&lt;&gt;"Falls Short"),20*V987,"")</f>
        <v/>
      </c>
    </row>
    <row r="988">
      <c r="Q988">
        <f>LEFT(I988,9)</f>
        <v/>
      </c>
      <c r="R988">
        <f>TRIM(B988)</f>
        <v/>
      </c>
      <c r="S988">
        <f>COUNTIF($X$1:$X$9,R988) &gt; 0</f>
        <v/>
      </c>
      <c r="T988">
        <f>IF(AND(S988=FALSE,LEN(R988)&gt;2),4,IF(S988=TRUE,INDEX($Y$1:$Y$9,MATCH(R988,$X$1:$X$9,0)),""))</f>
        <v/>
      </c>
      <c r="U988">
        <f>IF(R988&lt;&gt;"",IF(Q993="",0,MATCH(TRUE,INDEX(Q993:$Q$1100="",0),0)-1),"")</f>
        <v/>
      </c>
      <c r="V988">
        <f>IF(AND(T988&lt;&gt;"",U988&lt;&gt;""),IF(U988-T988&lt;=0,"Falls Short",U988-T988),"")</f>
        <v/>
      </c>
      <c r="W988">
        <f>IF(AND(R988&lt;&gt;"",V988&lt;&gt;"Falls Short"),20*V988,"")</f>
        <v/>
      </c>
    </row>
    <row r="989">
      <c r="Q989">
        <f>LEFT(I989,9)</f>
        <v/>
      </c>
      <c r="R989">
        <f>TRIM(B989)</f>
        <v/>
      </c>
      <c r="S989">
        <f>COUNTIF($X$1:$X$9,R989) &gt; 0</f>
        <v/>
      </c>
      <c r="T989">
        <f>IF(AND(S989=FALSE,LEN(R989)&gt;2),4,IF(S989=TRUE,INDEX($Y$1:$Y$9,MATCH(R989,$X$1:$X$9,0)),""))</f>
        <v/>
      </c>
      <c r="U989">
        <f>IF(R989&lt;&gt;"",IF(Q994="",0,MATCH(TRUE,INDEX(Q994:$Q$1100="",0),0)-1),"")</f>
        <v/>
      </c>
      <c r="V989">
        <f>IF(AND(T989&lt;&gt;"",U989&lt;&gt;""),IF(U989-T989&lt;=0,"Falls Short",U989-T989),"")</f>
        <v/>
      </c>
      <c r="W989">
        <f>IF(AND(R989&lt;&gt;"",V989&lt;&gt;"Falls Short"),20*V989,"")</f>
        <v/>
      </c>
    </row>
    <row r="990">
      <c r="Q990">
        <f>LEFT(I990,9)</f>
        <v/>
      </c>
      <c r="R990">
        <f>TRIM(B990)</f>
        <v/>
      </c>
      <c r="S990">
        <f>COUNTIF($X$1:$X$9,R990) &gt; 0</f>
        <v/>
      </c>
      <c r="T990">
        <f>IF(AND(S990=FALSE,LEN(R990)&gt;2),4,IF(S990=TRUE,INDEX($Y$1:$Y$9,MATCH(R990,$X$1:$X$9,0)),""))</f>
        <v/>
      </c>
      <c r="U990">
        <f>IF(R990&lt;&gt;"",IF(Q995="",0,MATCH(TRUE,INDEX(Q995:$Q$1100="",0),0)-1),"")</f>
        <v/>
      </c>
      <c r="V990">
        <f>IF(AND(T990&lt;&gt;"",U990&lt;&gt;""),IF(U990-T990&lt;=0,"Falls Short",U990-T990),"")</f>
        <v/>
      </c>
      <c r="W990">
        <f>IF(AND(R990&lt;&gt;"",V990&lt;&gt;"Falls Short"),20*V990,"")</f>
        <v/>
      </c>
    </row>
    <row r="991">
      <c r="Q991">
        <f>LEFT(I991,9)</f>
        <v/>
      </c>
      <c r="R991">
        <f>TRIM(B991)</f>
        <v/>
      </c>
      <c r="S991">
        <f>COUNTIF($X$1:$X$9,R991) &gt; 0</f>
        <v/>
      </c>
      <c r="T991">
        <f>IF(AND(S991=FALSE,LEN(R991)&gt;2),4,IF(S991=TRUE,INDEX($Y$1:$Y$9,MATCH(R991,$X$1:$X$9,0)),""))</f>
        <v/>
      </c>
      <c r="U991">
        <f>IF(R991&lt;&gt;"",IF(Q996="",0,MATCH(TRUE,INDEX(Q996:$Q$1100="",0),0)-1),"")</f>
        <v/>
      </c>
      <c r="V991">
        <f>IF(AND(T991&lt;&gt;"",U991&lt;&gt;""),IF(U991-T991&lt;=0,"Falls Short",U991-T991),"")</f>
        <v/>
      </c>
      <c r="W991">
        <f>IF(AND(R991&lt;&gt;"",V991&lt;&gt;"Falls Short"),20*V991,"")</f>
        <v/>
      </c>
    </row>
    <row r="992">
      <c r="Q992">
        <f>LEFT(I992,9)</f>
        <v/>
      </c>
      <c r="R992">
        <f>TRIM(B992)</f>
        <v/>
      </c>
      <c r="S992">
        <f>COUNTIF($X$1:$X$9,R992) &gt; 0</f>
        <v/>
      </c>
      <c r="T992">
        <f>IF(AND(S992=FALSE,LEN(R992)&gt;2),4,IF(S992=TRUE,INDEX($Y$1:$Y$9,MATCH(R992,$X$1:$X$9,0)),""))</f>
        <v/>
      </c>
      <c r="U992">
        <f>IF(R992&lt;&gt;"",IF(Q997="",0,MATCH(TRUE,INDEX(Q997:$Q$1100="",0),0)-1),"")</f>
        <v/>
      </c>
      <c r="V992">
        <f>IF(AND(T992&lt;&gt;"",U992&lt;&gt;""),IF(U992-T992&lt;=0,"Falls Short",U992-T992),"")</f>
        <v/>
      </c>
      <c r="W992">
        <f>IF(AND(R992&lt;&gt;"",V992&lt;&gt;"Falls Short"),20*V992,"")</f>
        <v/>
      </c>
    </row>
    <row r="993">
      <c r="Q993">
        <f>LEFT(I993,9)</f>
        <v/>
      </c>
      <c r="R993">
        <f>TRIM(B993)</f>
        <v/>
      </c>
      <c r="S993">
        <f>COUNTIF($X$1:$X$9,R993) &gt; 0</f>
        <v/>
      </c>
      <c r="T993">
        <f>IF(AND(S993=FALSE,LEN(R993)&gt;2),4,IF(S993=TRUE,INDEX($Y$1:$Y$9,MATCH(R993,$X$1:$X$9,0)),""))</f>
        <v/>
      </c>
      <c r="U993">
        <f>IF(R993&lt;&gt;"",IF(Q998="",0,MATCH(TRUE,INDEX(Q998:$Q$1100="",0),0)-1),"")</f>
        <v/>
      </c>
      <c r="V993">
        <f>IF(AND(T993&lt;&gt;"",U993&lt;&gt;""),IF(U993-T993&lt;=0,"Falls Short",U993-T993),"")</f>
        <v/>
      </c>
      <c r="W993">
        <f>IF(AND(R993&lt;&gt;"",V993&lt;&gt;"Falls Short"),20*V993,"")</f>
        <v/>
      </c>
    </row>
    <row r="994">
      <c r="Q994">
        <f>LEFT(I994,9)</f>
        <v/>
      </c>
      <c r="R994">
        <f>TRIM(B994)</f>
        <v/>
      </c>
      <c r="S994">
        <f>COUNTIF($X$1:$X$9,R994) &gt; 0</f>
        <v/>
      </c>
      <c r="T994">
        <f>IF(AND(S994=FALSE,LEN(R994)&gt;2),4,IF(S994=TRUE,INDEX($Y$1:$Y$9,MATCH(R994,$X$1:$X$9,0)),""))</f>
        <v/>
      </c>
      <c r="U994">
        <f>IF(R994&lt;&gt;"",IF(Q999="",0,MATCH(TRUE,INDEX(Q999:$Q$1100="",0),0)-1),"")</f>
        <v/>
      </c>
      <c r="V994">
        <f>IF(AND(T994&lt;&gt;"",U994&lt;&gt;""),IF(U994-T994&lt;=0,"Falls Short",U994-T994),"")</f>
        <v/>
      </c>
      <c r="W994">
        <f>IF(AND(R994&lt;&gt;"",V994&lt;&gt;"Falls Short"),20*V994,"")</f>
        <v/>
      </c>
    </row>
    <row r="995">
      <c r="Q995">
        <f>LEFT(I995,9)</f>
        <v/>
      </c>
      <c r="R995">
        <f>TRIM(B995)</f>
        <v/>
      </c>
      <c r="S995">
        <f>COUNTIF($X$1:$X$9,R995) &gt; 0</f>
        <v/>
      </c>
      <c r="T995">
        <f>IF(AND(S995=FALSE,LEN(R995)&gt;2),4,IF(S995=TRUE,INDEX($Y$1:$Y$9,MATCH(R995,$X$1:$X$9,0)),""))</f>
        <v/>
      </c>
      <c r="U995">
        <f>IF(R995&lt;&gt;"",IF(Q1000="",0,MATCH(TRUE,INDEX(Q1000:$Q$1100="",0),0)-1),"")</f>
        <v/>
      </c>
      <c r="V995">
        <f>IF(AND(T995&lt;&gt;"",U995&lt;&gt;""),IF(U995-T995&lt;=0,"Falls Short",U995-T995),"")</f>
        <v/>
      </c>
      <c r="W995">
        <f>IF(AND(R995&lt;&gt;"",V995&lt;&gt;"Falls Short"),20*V995,"")</f>
        <v/>
      </c>
    </row>
    <row r="996">
      <c r="Q996">
        <f>LEFT(I996,9)</f>
        <v/>
      </c>
      <c r="R996">
        <f>TRIM(B996)</f>
        <v/>
      </c>
      <c r="S996">
        <f>COUNTIF($X$1:$X$9,R996) &gt; 0</f>
        <v/>
      </c>
      <c r="T996">
        <f>IF(AND(S996=FALSE,LEN(R996)&gt;2),4,IF(S996=TRUE,INDEX($Y$1:$Y$9,MATCH(R996,$X$1:$X$9,0)),""))</f>
        <v/>
      </c>
      <c r="U996">
        <f>IF(R996&lt;&gt;"",IF(Q1001="",0,MATCH(TRUE,INDEX(Q1001:$Q$1100="",0),0)-1),"")</f>
        <v/>
      </c>
      <c r="V996">
        <f>IF(AND(T996&lt;&gt;"",U996&lt;&gt;""),IF(U996-T996&lt;=0,"Falls Short",U996-T996),"")</f>
        <v/>
      </c>
      <c r="W996">
        <f>IF(AND(R996&lt;&gt;"",V996&lt;&gt;"Falls Short"),20*V996,"")</f>
        <v/>
      </c>
    </row>
    <row r="997">
      <c r="Q997">
        <f>LEFT(I997,9)</f>
        <v/>
      </c>
      <c r="R997">
        <f>TRIM(B997)</f>
        <v/>
      </c>
      <c r="S997">
        <f>COUNTIF($X$1:$X$9,R997) &gt; 0</f>
        <v/>
      </c>
      <c r="T997">
        <f>IF(AND(S997=FALSE,LEN(R997)&gt;2),4,IF(S997=TRUE,INDEX($Y$1:$Y$9,MATCH(R997,$X$1:$X$9,0)),""))</f>
        <v/>
      </c>
      <c r="U997">
        <f>IF(R997&lt;&gt;"",IF(Q1002="",0,MATCH(TRUE,INDEX(Q1002:$Q$1100="",0),0)-1),"")</f>
        <v/>
      </c>
      <c r="V997">
        <f>IF(AND(T997&lt;&gt;"",U997&lt;&gt;""),IF(U997-T997&lt;=0,"Falls Short",U997-T997),"")</f>
        <v/>
      </c>
      <c r="W997">
        <f>IF(AND(R997&lt;&gt;"",V997&lt;&gt;"Falls Short"),20*V997,"")</f>
        <v/>
      </c>
    </row>
    <row r="998">
      <c r="Q998">
        <f>LEFT(I998,9)</f>
        <v/>
      </c>
      <c r="R998">
        <f>TRIM(B998)</f>
        <v/>
      </c>
      <c r="S998">
        <f>COUNTIF($X$1:$X$9,R998) &gt; 0</f>
        <v/>
      </c>
      <c r="T998">
        <f>IF(AND(S998=FALSE,LEN(R998)&gt;2),4,IF(S998=TRUE,INDEX($Y$1:$Y$9,MATCH(R998,$X$1:$X$9,0)),""))</f>
        <v/>
      </c>
      <c r="U998">
        <f>IF(R998&lt;&gt;"",IF(Q1003="",0,MATCH(TRUE,INDEX(Q1003:$Q$1100="",0),0)-1),"")</f>
        <v/>
      </c>
      <c r="V998">
        <f>IF(AND(T998&lt;&gt;"",U998&lt;&gt;""),IF(U998-T998&lt;=0,"Falls Short",U998-T998),"")</f>
        <v/>
      </c>
      <c r="W998">
        <f>IF(AND(R998&lt;&gt;"",V998&lt;&gt;"Falls Short"),20*V998,"")</f>
        <v/>
      </c>
    </row>
    <row r="999">
      <c r="Q999">
        <f>LEFT(I999,9)</f>
        <v/>
      </c>
      <c r="R999">
        <f>TRIM(B999)</f>
        <v/>
      </c>
      <c r="S999">
        <f>COUNTIF($X$1:$X$9,R999) &gt; 0</f>
        <v/>
      </c>
      <c r="T999">
        <f>IF(AND(S999=FALSE,LEN(R999)&gt;2),4,IF(S999=TRUE,INDEX($Y$1:$Y$9,MATCH(R999,$X$1:$X$9,0)),""))</f>
        <v/>
      </c>
      <c r="U999">
        <f>IF(R999&lt;&gt;"",IF(Q1004="",0,MATCH(TRUE,INDEX(Q1004:$Q$1100="",0),0)-1),"")</f>
        <v/>
      </c>
      <c r="V999">
        <f>IF(AND(T999&lt;&gt;"",U999&lt;&gt;""),IF(U999-T999&lt;=0,"Falls Short",U999-T999),"")</f>
        <v/>
      </c>
      <c r="W999">
        <f>IF(AND(R999&lt;&gt;"",V999&lt;&gt;"Falls Short"),20*V999,"")</f>
        <v/>
      </c>
    </row>
  </sheetData>
  <autoFilter ref="Q5:W1000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el-GR</dc:language>
  <dcterms:created xmlns:dcterms="http://purl.org/dc/terms/" xmlns:xsi="http://www.w3.org/2001/XMLSchema-instance" xsi:type="dcterms:W3CDTF">2026-02-16T16:57:59Z</dcterms:created>
  <dcterms:modified xmlns:dcterms="http://purl.org/dc/terms/" xmlns:xsi="http://www.w3.org/2001/XMLSchema-instance" xsi:type="dcterms:W3CDTF">2026-05-09T16:40:42Z</dcterms:modified>
  <cp:revision>1</cp:revision>
</cp:coreProperties>
</file>